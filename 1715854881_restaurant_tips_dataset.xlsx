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defaultThemeVersion="166925"/>
  <mc:AlternateContent xmlns:mc="http://schemas.openxmlformats.org/markup-compatibility/2006">
    <mc:Choice Requires="x15">
      <x15ac:absPath xmlns:x15ac="http://schemas.microsoft.com/office/spreadsheetml/2010/11/ac" url="/Users/genesismaravillas/Downloads/business analytics w excel/"/>
    </mc:Choice>
  </mc:AlternateContent>
  <xr:revisionPtr revIDLastSave="0" documentId="13_ncr:1_{8775B50F-95B2-8B4F-8EDD-506DBB597ECC}" xr6:coauthVersionLast="47" xr6:coauthVersionMax="47" xr10:uidLastSave="{00000000-0000-0000-0000-000000000000}"/>
  <bookViews>
    <workbookView xWindow="17000" yWindow="0" windowWidth="11800" windowHeight="18000" activeTab="1" xr2:uid="{E39F1B53-3127-4D6C-88BD-079CCE5E8692}"/>
  </bookViews>
  <sheets>
    <sheet name="Sheet2" sheetId="3" r:id="rId1"/>
    <sheet name="tips" sheetId="1" r:id="rId2"/>
  </sheets>
  <calcPr calcId="191028"/>
  <pivotCaches>
    <pivotCache cacheId="0" r:id="rId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1" i="1" l="1"/>
  <c r="X63" i="1"/>
  <c r="X62"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 i="1"/>
  <c r="T3" i="1"/>
  <c r="T4" i="1"/>
  <c r="T5" i="1"/>
  <c r="T6" i="1"/>
  <c r="T7" i="1"/>
  <c r="T8" i="1"/>
  <c r="T9" i="1"/>
  <c r="T10" i="1"/>
  <c r="T11" i="1"/>
  <c r="T12" i="1"/>
  <c r="T13" i="1"/>
  <c r="T14" i="1"/>
  <c r="T15" i="1"/>
  <c r="T16" i="1"/>
  <c r="T17" i="1"/>
  <c r="T18" i="1"/>
  <c r="T19" i="1"/>
  <c r="T20" i="1"/>
  <c r="T21" i="1"/>
  <c r="T22" i="1"/>
  <c r="T23" i="1"/>
  <c r="T24" i="1"/>
  <c r="T25" i="1"/>
  <c r="T26" i="1"/>
  <c r="T27" i="1"/>
  <c r="T28" i="1"/>
  <c r="T29" i="1"/>
  <c r="T30" i="1"/>
  <c r="T31" i="1"/>
  <c r="T32" i="1"/>
  <c r="T33" i="1"/>
  <c r="T34" i="1"/>
  <c r="T35" i="1"/>
  <c r="T36" i="1"/>
  <c r="T37" i="1"/>
  <c r="T38" i="1"/>
  <c r="T39" i="1"/>
  <c r="T40" i="1"/>
  <c r="T41" i="1"/>
  <c r="T42" i="1"/>
  <c r="T43" i="1"/>
  <c r="T44" i="1"/>
  <c r="T45" i="1"/>
  <c r="T46" i="1"/>
  <c r="T47" i="1"/>
  <c r="T48" i="1"/>
  <c r="T49" i="1"/>
  <c r="T50" i="1"/>
  <c r="T51" i="1"/>
  <c r="T52" i="1"/>
  <c r="T53" i="1"/>
  <c r="T54" i="1"/>
  <c r="T55" i="1"/>
  <c r="T56" i="1"/>
  <c r="T57" i="1"/>
  <c r="T58" i="1"/>
  <c r="T59" i="1"/>
  <c r="T60" i="1"/>
  <c r="T61" i="1"/>
  <c r="T62" i="1"/>
  <c r="T63" i="1"/>
  <c r="T64" i="1"/>
  <c r="T65" i="1"/>
  <c r="T66" i="1"/>
  <c r="T67" i="1"/>
  <c r="T68" i="1"/>
  <c r="T69" i="1"/>
  <c r="T70" i="1"/>
  <c r="T71" i="1"/>
  <c r="T72" i="1"/>
  <c r="T73" i="1"/>
  <c r="T74" i="1"/>
  <c r="T75" i="1"/>
  <c r="T76" i="1"/>
  <c r="T77" i="1"/>
  <c r="T78" i="1"/>
  <c r="T79" i="1"/>
  <c r="T80" i="1"/>
  <c r="T81" i="1"/>
  <c r="T82" i="1"/>
  <c r="T83" i="1"/>
  <c r="T84" i="1"/>
  <c r="T85" i="1"/>
  <c r="T86" i="1"/>
  <c r="T87" i="1"/>
  <c r="T88" i="1"/>
  <c r="T89" i="1"/>
  <c r="T90" i="1"/>
  <c r="T91" i="1"/>
  <c r="T92" i="1"/>
  <c r="T93" i="1"/>
  <c r="T94" i="1"/>
  <c r="T95" i="1"/>
  <c r="T96" i="1"/>
  <c r="T97" i="1"/>
  <c r="T98" i="1"/>
  <c r="T99" i="1"/>
  <c r="T100" i="1"/>
  <c r="T101" i="1"/>
  <c r="T102" i="1"/>
  <c r="T103" i="1"/>
  <c r="T104" i="1"/>
  <c r="T105" i="1"/>
  <c r="T106" i="1"/>
  <c r="T107" i="1"/>
  <c r="T108" i="1"/>
  <c r="T109" i="1"/>
  <c r="T110" i="1"/>
  <c r="T111" i="1"/>
  <c r="T112" i="1"/>
  <c r="T113" i="1"/>
  <c r="T114" i="1"/>
  <c r="T115" i="1"/>
  <c r="T116" i="1"/>
  <c r="T117" i="1"/>
  <c r="T118" i="1"/>
  <c r="T119" i="1"/>
  <c r="T120" i="1"/>
  <c r="T121" i="1"/>
  <c r="T122" i="1"/>
  <c r="T123" i="1"/>
  <c r="T124" i="1"/>
  <c r="T125" i="1"/>
  <c r="T126" i="1"/>
  <c r="T127" i="1"/>
  <c r="T128" i="1"/>
  <c r="T129" i="1"/>
  <c r="T130" i="1"/>
  <c r="T131" i="1"/>
  <c r="T132" i="1"/>
  <c r="T133" i="1"/>
  <c r="T134" i="1"/>
  <c r="T135" i="1"/>
  <c r="T136" i="1"/>
  <c r="T137" i="1"/>
  <c r="T138" i="1"/>
  <c r="T139" i="1"/>
  <c r="T140" i="1"/>
  <c r="T141" i="1"/>
  <c r="T142" i="1"/>
  <c r="T143" i="1"/>
  <c r="T144" i="1"/>
  <c r="T145" i="1"/>
  <c r="T146" i="1"/>
  <c r="T147" i="1"/>
  <c r="T148" i="1"/>
  <c r="T149" i="1"/>
  <c r="T150" i="1"/>
  <c r="T151" i="1"/>
  <c r="T152" i="1"/>
  <c r="T153" i="1"/>
  <c r="T154" i="1"/>
  <c r="T155" i="1"/>
  <c r="T156" i="1"/>
  <c r="T157" i="1"/>
  <c r="T158" i="1"/>
  <c r="T159" i="1"/>
  <c r="T160" i="1"/>
  <c r="T161" i="1"/>
  <c r="T162" i="1"/>
  <c r="T163" i="1"/>
  <c r="T164" i="1"/>
  <c r="T165" i="1"/>
  <c r="T166" i="1"/>
  <c r="T167" i="1"/>
  <c r="T168" i="1"/>
  <c r="T169" i="1"/>
  <c r="T170" i="1"/>
  <c r="T171" i="1"/>
  <c r="T172" i="1"/>
  <c r="T173" i="1"/>
  <c r="T174" i="1"/>
  <c r="T175" i="1"/>
  <c r="T176" i="1"/>
  <c r="T177" i="1"/>
  <c r="T178" i="1"/>
  <c r="T179" i="1"/>
  <c r="T180" i="1"/>
  <c r="T181" i="1"/>
  <c r="T182" i="1"/>
  <c r="T183" i="1"/>
  <c r="T184" i="1"/>
  <c r="T185" i="1"/>
  <c r="T186" i="1"/>
  <c r="T187" i="1"/>
  <c r="T188" i="1"/>
  <c r="T189" i="1"/>
  <c r="T190" i="1"/>
  <c r="T191" i="1"/>
  <c r="T192" i="1"/>
  <c r="T193" i="1"/>
  <c r="T194" i="1"/>
  <c r="T195" i="1"/>
  <c r="T196" i="1"/>
  <c r="T197" i="1"/>
  <c r="T198" i="1"/>
  <c r="T199" i="1"/>
  <c r="T200" i="1"/>
  <c r="T201" i="1"/>
  <c r="T202" i="1"/>
  <c r="T203" i="1"/>
  <c r="T204" i="1"/>
  <c r="T205" i="1"/>
  <c r="T206" i="1"/>
  <c r="T207" i="1"/>
  <c r="T208" i="1"/>
  <c r="T209" i="1"/>
  <c r="T210" i="1"/>
  <c r="T211" i="1"/>
  <c r="T212" i="1"/>
  <c r="T213" i="1"/>
  <c r="T214" i="1"/>
  <c r="T215" i="1"/>
  <c r="T216" i="1"/>
  <c r="T217" i="1"/>
  <c r="T218" i="1"/>
  <c r="T219" i="1"/>
  <c r="T220" i="1"/>
  <c r="T221" i="1"/>
  <c r="T222" i="1"/>
  <c r="T223" i="1"/>
  <c r="T224" i="1"/>
  <c r="T225" i="1"/>
  <c r="T226" i="1"/>
  <c r="T227" i="1"/>
  <c r="T228" i="1"/>
  <c r="T229" i="1"/>
  <c r="T230" i="1"/>
  <c r="T231" i="1"/>
  <c r="T232" i="1"/>
  <c r="T233" i="1"/>
  <c r="T234" i="1"/>
  <c r="T235" i="1"/>
  <c r="T236" i="1"/>
  <c r="T237" i="1"/>
  <c r="T238" i="1"/>
  <c r="T239" i="1"/>
  <c r="T240" i="1"/>
  <c r="T241" i="1"/>
  <c r="T242" i="1"/>
  <c r="T243" i="1"/>
  <c r="T244" i="1"/>
  <c r="T245" i="1"/>
  <c r="T2" i="1"/>
  <c r="X19" i="1"/>
  <c r="X18" i="1"/>
  <c r="Q245" i="1"/>
  <c r="Q244" i="1"/>
  <c r="Q235" i="1"/>
  <c r="Q243" i="1"/>
  <c r="Q225" i="1"/>
  <c r="Q206" i="1"/>
  <c r="Q178" i="1"/>
  <c r="Q221" i="1"/>
  <c r="Q210" i="1"/>
  <c r="Q189" i="1"/>
  <c r="Q179" i="1"/>
  <c r="Q216" i="1"/>
  <c r="Q228" i="1"/>
  <c r="Q229" i="1"/>
  <c r="Q196" i="1"/>
  <c r="Q4" i="1"/>
  <c r="Q212" i="1"/>
  <c r="Q213" i="1"/>
  <c r="Q239" i="1"/>
  <c r="Q159" i="1"/>
  <c r="Q242" i="1"/>
  <c r="Q201" i="1"/>
  <c r="Q238" i="1"/>
  <c r="Q222" i="1"/>
  <c r="Q192" i="1"/>
  <c r="Q170" i="1"/>
  <c r="Q218" i="1"/>
  <c r="Q230" i="1"/>
  <c r="Q236" i="1"/>
  <c r="Q193" i="1"/>
  <c r="Q231" i="1"/>
  <c r="Q219" i="1"/>
  <c r="Q194" i="1"/>
  <c r="Q103" i="1"/>
  <c r="Q168" i="1"/>
  <c r="Q191" i="1"/>
  <c r="Q211" i="1"/>
  <c r="Q147" i="1"/>
  <c r="Q162" i="1"/>
  <c r="Q127" i="1"/>
  <c r="Q155" i="1"/>
  <c r="Q156" i="1"/>
  <c r="Q140" i="1"/>
  <c r="Q109" i="1"/>
  <c r="Q177" i="1"/>
  <c r="Q15" i="1"/>
  <c r="Q111" i="1"/>
  <c r="Q195" i="1"/>
  <c r="Q233" i="1"/>
  <c r="Q76" i="1"/>
  <c r="Q204" i="1"/>
  <c r="Q133" i="1"/>
  <c r="Q203" i="1"/>
  <c r="Q167" i="1"/>
  <c r="Q131" i="1"/>
  <c r="Q135" i="1"/>
  <c r="Q190" i="1"/>
  <c r="Q101" i="1"/>
  <c r="Q227" i="1"/>
  <c r="Q188" i="1"/>
  <c r="Q183" i="1"/>
  <c r="Q226" i="1"/>
  <c r="Q144" i="1"/>
  <c r="Q130" i="1"/>
  <c r="Q161" i="1"/>
  <c r="Q241" i="1"/>
  <c r="Q166" i="1"/>
  <c r="Q120" i="1"/>
  <c r="Q118" i="1"/>
  <c r="Q172" i="1"/>
  <c r="Q113" i="1"/>
  <c r="Q163" i="1"/>
  <c r="Q65" i="1"/>
  <c r="Q186" i="1"/>
  <c r="Q171" i="1"/>
  <c r="Q198" i="1"/>
  <c r="Q110" i="1"/>
  <c r="Q39" i="1"/>
  <c r="Q157" i="1"/>
  <c r="Q180" i="1"/>
  <c r="Q123" i="1"/>
  <c r="Q132" i="1"/>
  <c r="Q174" i="1"/>
  <c r="Q107" i="1"/>
  <c r="Q80" i="1"/>
  <c r="Q152" i="1"/>
  <c r="Q220" i="1"/>
  <c r="Q148" i="1"/>
  <c r="Q93" i="1"/>
  <c r="Q149" i="1"/>
  <c r="Q199" i="1"/>
  <c r="Q200" i="1"/>
  <c r="Q224" i="1"/>
  <c r="Q215" i="1"/>
  <c r="Q128" i="1"/>
  <c r="Q112" i="1"/>
  <c r="Q71" i="1"/>
  <c r="Q81" i="1"/>
  <c r="Q141" i="1"/>
  <c r="Q89" i="1"/>
  <c r="Q91" i="1"/>
  <c r="Q154" i="1"/>
  <c r="Q96" i="1"/>
  <c r="Q205" i="1"/>
  <c r="Q234" i="1"/>
  <c r="Q237" i="1"/>
  <c r="Q121" i="1"/>
  <c r="Q72" i="1"/>
  <c r="Q86" i="1"/>
  <c r="Q164" i="1"/>
  <c r="Q209" i="1"/>
  <c r="Q165" i="1"/>
  <c r="Q143" i="1"/>
  <c r="Q175" i="1"/>
  <c r="Q115" i="1"/>
  <c r="Q232" i="1"/>
  <c r="Q129" i="1"/>
  <c r="Q134" i="1"/>
  <c r="Q84" i="1"/>
  <c r="Q145" i="1"/>
  <c r="Q137" i="1"/>
  <c r="Q184" i="1"/>
  <c r="Q169" i="1"/>
  <c r="Q151" i="1"/>
  <c r="Q60" i="1"/>
  <c r="Q153" i="1"/>
  <c r="Q116" i="1"/>
  <c r="Q62" i="1"/>
  <c r="Q117" i="1"/>
  <c r="Q122" i="1"/>
  <c r="Q64" i="1"/>
  <c r="Q23" i="1"/>
  <c r="Q207" i="1"/>
  <c r="Q181" i="1"/>
  <c r="Q119" i="1"/>
  <c r="Q48" i="1"/>
  <c r="Q100" i="1"/>
  <c r="Q61" i="1"/>
  <c r="Q104" i="1"/>
  <c r="Q51" i="1"/>
  <c r="Q73" i="1"/>
  <c r="Q75" i="1"/>
  <c r="Q240" i="1"/>
  <c r="Q36" i="1"/>
  <c r="Q49" i="1"/>
  <c r="Q136" i="1"/>
  <c r="Q106" i="1"/>
  <c r="Q158" i="1"/>
  <c r="Q124" i="1"/>
  <c r="Q40" i="1"/>
  <c r="Q139" i="1"/>
  <c r="Q105" i="1"/>
  <c r="Q160" i="1"/>
  <c r="Q98" i="1"/>
  <c r="Q54" i="1"/>
  <c r="Q92" i="1"/>
  <c r="Q44" i="1"/>
  <c r="Q79" i="1"/>
  <c r="Q176" i="1"/>
  <c r="Q82" i="1"/>
  <c r="Q208" i="1"/>
  <c r="Q185" i="1"/>
  <c r="Q95" i="1"/>
  <c r="Q88" i="1"/>
  <c r="Q53" i="1"/>
  <c r="Q150" i="1"/>
  <c r="Q173" i="1"/>
  <c r="Q202" i="1"/>
  <c r="Q182" i="1"/>
  <c r="Q21" i="1"/>
  <c r="Q214" i="1"/>
  <c r="Q57" i="1"/>
  <c r="Q68" i="1"/>
  <c r="Q56" i="1"/>
  <c r="Q27" i="1"/>
  <c r="Q217" i="1"/>
  <c r="Q77" i="1"/>
  <c r="Q126" i="1"/>
  <c r="Q30" i="1"/>
  <c r="Q70" i="1"/>
  <c r="Q99" i="1"/>
  <c r="Q108" i="1"/>
  <c r="Q146" i="1"/>
  <c r="Q187" i="1"/>
  <c r="Q59" i="1"/>
  <c r="Q6" i="1"/>
  <c r="Q97" i="1"/>
  <c r="Q74" i="1"/>
  <c r="Q25" i="1"/>
  <c r="Q45" i="1"/>
  <c r="Q37" i="1"/>
  <c r="Q78" i="1"/>
  <c r="Q94" i="1"/>
  <c r="Q58" i="1"/>
  <c r="Q69" i="1"/>
  <c r="Q102" i="1"/>
  <c r="Q52" i="1"/>
  <c r="Q63" i="1"/>
  <c r="Q13" i="1"/>
  <c r="Q33" i="1"/>
  <c r="Q42" i="1"/>
  <c r="Q83" i="1"/>
  <c r="Q12" i="1"/>
  <c r="Q20" i="1"/>
  <c r="Q46" i="1"/>
  <c r="Q35" i="1"/>
  <c r="Q125" i="1"/>
  <c r="Q17" i="1"/>
  <c r="Q22" i="1"/>
  <c r="Q67" i="1"/>
  <c r="Q24" i="1"/>
  <c r="Q26" i="1"/>
  <c r="Q85" i="1"/>
  <c r="Q41" i="1"/>
  <c r="Q29" i="1"/>
  <c r="Q66" i="1"/>
  <c r="Q87" i="1"/>
  <c r="Q18" i="1"/>
  <c r="Q38" i="1"/>
  <c r="Q90" i="1"/>
  <c r="Q9" i="1"/>
  <c r="Q34" i="1"/>
  <c r="Q142" i="1"/>
  <c r="Q31" i="1"/>
  <c r="Q47" i="1"/>
  <c r="Q43" i="1"/>
  <c r="Q197" i="1"/>
  <c r="Q11" i="1"/>
  <c r="Q32" i="1"/>
  <c r="Q14" i="1"/>
  <c r="Q8" i="1"/>
  <c r="Q7" i="1"/>
  <c r="Q138" i="1"/>
  <c r="Q16" i="1"/>
  <c r="Q19" i="1"/>
  <c r="Q10" i="1"/>
  <c r="Q28" i="1"/>
  <c r="Q223" i="1"/>
  <c r="Q55" i="1"/>
  <c r="Q114" i="1"/>
  <c r="Q50" i="1"/>
  <c r="Q5" i="1"/>
  <c r="Q3" i="1"/>
  <c r="Q2" i="1"/>
  <c r="M3" i="1"/>
  <c r="M5" i="1"/>
  <c r="M50" i="1"/>
  <c r="M114" i="1"/>
  <c r="M55" i="1"/>
  <c r="M223" i="1"/>
  <c r="M28" i="1"/>
  <c r="M10" i="1"/>
  <c r="M19" i="1"/>
  <c r="M16" i="1"/>
  <c r="M138" i="1"/>
  <c r="M7" i="1"/>
  <c r="M8" i="1"/>
  <c r="M14" i="1"/>
  <c r="M32" i="1"/>
  <c r="M11" i="1"/>
  <c r="M197" i="1"/>
  <c r="M43" i="1"/>
  <c r="M47" i="1"/>
  <c r="M31" i="1"/>
  <c r="M142" i="1"/>
  <c r="M34" i="1"/>
  <c r="M9" i="1"/>
  <c r="M90" i="1"/>
  <c r="M38" i="1"/>
  <c r="M18" i="1"/>
  <c r="M87" i="1"/>
  <c r="M66" i="1"/>
  <c r="M29" i="1"/>
  <c r="M41" i="1"/>
  <c r="M85" i="1"/>
  <c r="M26" i="1"/>
  <c r="M24" i="1"/>
  <c r="M67" i="1"/>
  <c r="M22" i="1"/>
  <c r="M17" i="1"/>
  <c r="M125" i="1"/>
  <c r="M35" i="1"/>
  <c r="M46" i="1"/>
  <c r="M20" i="1"/>
  <c r="M12" i="1"/>
  <c r="M83" i="1"/>
  <c r="M42" i="1"/>
  <c r="M33" i="1"/>
  <c r="M13" i="1"/>
  <c r="M63" i="1"/>
  <c r="M52" i="1"/>
  <c r="M102" i="1"/>
  <c r="M69" i="1"/>
  <c r="M58" i="1"/>
  <c r="M94" i="1"/>
  <c r="M78" i="1"/>
  <c r="M37" i="1"/>
  <c r="M45" i="1"/>
  <c r="M25" i="1"/>
  <c r="M74" i="1"/>
  <c r="M97" i="1"/>
  <c r="M6" i="1"/>
  <c r="M59" i="1"/>
  <c r="M187" i="1"/>
  <c r="M146" i="1"/>
  <c r="M108" i="1"/>
  <c r="M99" i="1"/>
  <c r="M70" i="1"/>
  <c r="M30" i="1"/>
  <c r="M126" i="1"/>
  <c r="M77" i="1"/>
  <c r="M217" i="1"/>
  <c r="M27" i="1"/>
  <c r="M56" i="1"/>
  <c r="M68" i="1"/>
  <c r="M57" i="1"/>
  <c r="M214" i="1"/>
  <c r="M21" i="1"/>
  <c r="M182" i="1"/>
  <c r="M202" i="1"/>
  <c r="M173" i="1"/>
  <c r="M150" i="1"/>
  <c r="M53" i="1"/>
  <c r="M88" i="1"/>
  <c r="M95" i="1"/>
  <c r="M185" i="1"/>
  <c r="M208" i="1"/>
  <c r="M82" i="1"/>
  <c r="M176" i="1"/>
  <c r="M79" i="1"/>
  <c r="M44" i="1"/>
  <c r="M92" i="1"/>
  <c r="M54" i="1"/>
  <c r="M98" i="1"/>
  <c r="M160" i="1"/>
  <c r="M105" i="1"/>
  <c r="M139" i="1"/>
  <c r="M40" i="1"/>
  <c r="M124" i="1"/>
  <c r="M158" i="1"/>
  <c r="M106" i="1"/>
  <c r="M136" i="1"/>
  <c r="M49" i="1"/>
  <c r="M36" i="1"/>
  <c r="M240" i="1"/>
  <c r="M75" i="1"/>
  <c r="M73" i="1"/>
  <c r="M51" i="1"/>
  <c r="M104" i="1"/>
  <c r="M61" i="1"/>
  <c r="M100" i="1"/>
  <c r="M48" i="1"/>
  <c r="M119" i="1"/>
  <c r="M181" i="1"/>
  <c r="M207" i="1"/>
  <c r="M23" i="1"/>
  <c r="M64" i="1"/>
  <c r="M122" i="1"/>
  <c r="M117" i="1"/>
  <c r="M62" i="1"/>
  <c r="M116" i="1"/>
  <c r="M153" i="1"/>
  <c r="M60" i="1"/>
  <c r="M151" i="1"/>
  <c r="M169" i="1"/>
  <c r="M184" i="1"/>
  <c r="M137" i="1"/>
  <c r="M145" i="1"/>
  <c r="M84" i="1"/>
  <c r="M134" i="1"/>
  <c r="M129" i="1"/>
  <c r="M232" i="1"/>
  <c r="M115" i="1"/>
  <c r="M175" i="1"/>
  <c r="M143" i="1"/>
  <c r="M165" i="1"/>
  <c r="M209" i="1"/>
  <c r="M164" i="1"/>
  <c r="M86" i="1"/>
  <c r="M72" i="1"/>
  <c r="M121" i="1"/>
  <c r="M237" i="1"/>
  <c r="M234" i="1"/>
  <c r="M205" i="1"/>
  <c r="M96" i="1"/>
  <c r="M154" i="1"/>
  <c r="M91" i="1"/>
  <c r="M89" i="1"/>
  <c r="M141" i="1"/>
  <c r="M81" i="1"/>
  <c r="M71" i="1"/>
  <c r="M112" i="1"/>
  <c r="M128" i="1"/>
  <c r="M215" i="1"/>
  <c r="M224" i="1"/>
  <c r="M200" i="1"/>
  <c r="M199" i="1"/>
  <c r="M149" i="1"/>
  <c r="M93" i="1"/>
  <c r="M148" i="1"/>
  <c r="M220" i="1"/>
  <c r="M152" i="1"/>
  <c r="M80" i="1"/>
  <c r="M107" i="1"/>
  <c r="M174" i="1"/>
  <c r="M132" i="1"/>
  <c r="M123" i="1"/>
  <c r="M180" i="1"/>
  <c r="M157" i="1"/>
  <c r="M39" i="1"/>
  <c r="M110" i="1"/>
  <c r="M198" i="1"/>
  <c r="M171" i="1"/>
  <c r="M186" i="1"/>
  <c r="M65" i="1"/>
  <c r="M163" i="1"/>
  <c r="M113" i="1"/>
  <c r="M172" i="1"/>
  <c r="M118" i="1"/>
  <c r="M120" i="1"/>
  <c r="M166" i="1"/>
  <c r="M241" i="1"/>
  <c r="M161" i="1"/>
  <c r="M130" i="1"/>
  <c r="M144" i="1"/>
  <c r="M226" i="1"/>
  <c r="M183" i="1"/>
  <c r="M188" i="1"/>
  <c r="M227" i="1"/>
  <c r="M101" i="1"/>
  <c r="M190" i="1"/>
  <c r="M135" i="1"/>
  <c r="M131" i="1"/>
  <c r="M167" i="1"/>
  <c r="M203" i="1"/>
  <c r="M133" i="1"/>
  <c r="M204" i="1"/>
  <c r="M76" i="1"/>
  <c r="M233" i="1"/>
  <c r="M195" i="1"/>
  <c r="M111" i="1"/>
  <c r="M15" i="1"/>
  <c r="M177" i="1"/>
  <c r="M109" i="1"/>
  <c r="M140" i="1"/>
  <c r="M156" i="1"/>
  <c r="M155" i="1"/>
  <c r="M127" i="1"/>
  <c r="M162" i="1"/>
  <c r="M147" i="1"/>
  <c r="M211" i="1"/>
  <c r="M191" i="1"/>
  <c r="M168" i="1"/>
  <c r="M103" i="1"/>
  <c r="M194" i="1"/>
  <c r="M219" i="1"/>
  <c r="M231" i="1"/>
  <c r="M193" i="1"/>
  <c r="M236" i="1"/>
  <c r="M230" i="1"/>
  <c r="M218" i="1"/>
  <c r="M170" i="1"/>
  <c r="M192" i="1"/>
  <c r="M222" i="1"/>
  <c r="M238" i="1"/>
  <c r="M201" i="1"/>
  <c r="M242" i="1"/>
  <c r="M159" i="1"/>
  <c r="M239" i="1"/>
  <c r="M213" i="1"/>
  <c r="M212" i="1"/>
  <c r="M4" i="1"/>
  <c r="M196" i="1"/>
  <c r="M229" i="1"/>
  <c r="M228" i="1"/>
  <c r="M216" i="1"/>
  <c r="M179" i="1"/>
  <c r="M189" i="1"/>
  <c r="M210" i="1"/>
  <c r="M221" i="1"/>
  <c r="M178" i="1"/>
  <c r="M206" i="1"/>
  <c r="M225" i="1"/>
  <c r="M243" i="1"/>
  <c r="M235" i="1"/>
  <c r="M244" i="1"/>
  <c r="M245" i="1"/>
  <c r="M2" i="1"/>
  <c r="L24" i="1"/>
  <c r="L26" i="1"/>
  <c r="L87" i="1"/>
  <c r="L3" i="1"/>
  <c r="L5" i="1"/>
  <c r="L50" i="1"/>
  <c r="L114" i="1"/>
  <c r="L55" i="1"/>
  <c r="L223" i="1"/>
  <c r="L28" i="1"/>
  <c r="L10" i="1"/>
  <c r="L19" i="1"/>
  <c r="L16" i="1"/>
  <c r="L138" i="1"/>
  <c r="L7" i="1"/>
  <c r="L8" i="1"/>
  <c r="L14" i="1"/>
  <c r="L32" i="1"/>
  <c r="L11" i="1"/>
  <c r="L197" i="1"/>
  <c r="L43" i="1"/>
  <c r="L47" i="1"/>
  <c r="L31" i="1"/>
  <c r="L142" i="1"/>
  <c r="L34" i="1"/>
  <c r="L9" i="1"/>
  <c r="L90" i="1"/>
  <c r="L38" i="1"/>
  <c r="L18" i="1"/>
  <c r="L66" i="1"/>
  <c r="L29" i="1"/>
  <c r="L41" i="1"/>
  <c r="L85" i="1"/>
  <c r="L67" i="1"/>
  <c r="L22" i="1"/>
  <c r="L17" i="1"/>
  <c r="L125" i="1"/>
  <c r="L35" i="1"/>
  <c r="L46" i="1"/>
  <c r="L20" i="1"/>
  <c r="L12" i="1"/>
  <c r="L83" i="1"/>
  <c r="L42" i="1"/>
  <c r="L33" i="1"/>
  <c r="L13" i="1"/>
  <c r="L63" i="1"/>
  <c r="L52" i="1"/>
  <c r="L102" i="1"/>
  <c r="L69" i="1"/>
  <c r="L58" i="1"/>
  <c r="L94" i="1"/>
  <c r="L78" i="1"/>
  <c r="L37" i="1"/>
  <c r="L45" i="1"/>
  <c r="L25" i="1"/>
  <c r="L74" i="1"/>
  <c r="L97" i="1"/>
  <c r="L6" i="1"/>
  <c r="L59" i="1"/>
  <c r="L187" i="1"/>
  <c r="L146" i="1"/>
  <c r="L108" i="1"/>
  <c r="L99" i="1"/>
  <c r="L70" i="1"/>
  <c r="L30" i="1"/>
  <c r="L126" i="1"/>
  <c r="L77" i="1"/>
  <c r="L217" i="1"/>
  <c r="L27" i="1"/>
  <c r="L56" i="1"/>
  <c r="L68" i="1"/>
  <c r="L57" i="1"/>
  <c r="L214" i="1"/>
  <c r="L21" i="1"/>
  <c r="L182" i="1"/>
  <c r="L202" i="1"/>
  <c r="L173" i="1"/>
  <c r="L150" i="1"/>
  <c r="L53" i="1"/>
  <c r="L88" i="1"/>
  <c r="L95" i="1"/>
  <c r="L185" i="1"/>
  <c r="L208" i="1"/>
  <c r="L82" i="1"/>
  <c r="L176" i="1"/>
  <c r="L79" i="1"/>
  <c r="L44" i="1"/>
  <c r="L92" i="1"/>
  <c r="L54" i="1"/>
  <c r="L98" i="1"/>
  <c r="L160" i="1"/>
  <c r="L105" i="1"/>
  <c r="L139" i="1"/>
  <c r="L40" i="1"/>
  <c r="L124" i="1"/>
  <c r="L158" i="1"/>
  <c r="L106" i="1"/>
  <c r="L136" i="1"/>
  <c r="L49" i="1"/>
  <c r="L36" i="1"/>
  <c r="L240" i="1"/>
  <c r="L75" i="1"/>
  <c r="L73" i="1"/>
  <c r="L51" i="1"/>
  <c r="L104" i="1"/>
  <c r="L61" i="1"/>
  <c r="L100" i="1"/>
  <c r="L48" i="1"/>
  <c r="L119" i="1"/>
  <c r="L181" i="1"/>
  <c r="L207" i="1"/>
  <c r="L23" i="1"/>
  <c r="L64" i="1"/>
  <c r="L122" i="1"/>
  <c r="L117" i="1"/>
  <c r="L62" i="1"/>
  <c r="L116" i="1"/>
  <c r="L153" i="1"/>
  <c r="L60" i="1"/>
  <c r="L151" i="1"/>
  <c r="L169" i="1"/>
  <c r="L184" i="1"/>
  <c r="L137" i="1"/>
  <c r="L145" i="1"/>
  <c r="L84" i="1"/>
  <c r="L134" i="1"/>
  <c r="L129" i="1"/>
  <c r="L232" i="1"/>
  <c r="L115" i="1"/>
  <c r="L175" i="1"/>
  <c r="L143" i="1"/>
  <c r="L165" i="1"/>
  <c r="L209" i="1"/>
  <c r="L164" i="1"/>
  <c r="L86" i="1"/>
  <c r="L72" i="1"/>
  <c r="L121" i="1"/>
  <c r="L237" i="1"/>
  <c r="L234" i="1"/>
  <c r="L205" i="1"/>
  <c r="L96" i="1"/>
  <c r="L154" i="1"/>
  <c r="L91" i="1"/>
  <c r="L89" i="1"/>
  <c r="L141" i="1"/>
  <c r="L81" i="1"/>
  <c r="L71" i="1"/>
  <c r="L112" i="1"/>
  <c r="L128" i="1"/>
  <c r="L215" i="1"/>
  <c r="L224" i="1"/>
  <c r="L200" i="1"/>
  <c r="L199" i="1"/>
  <c r="L149" i="1"/>
  <c r="L93" i="1"/>
  <c r="L148" i="1"/>
  <c r="L220" i="1"/>
  <c r="L152" i="1"/>
  <c r="L80" i="1"/>
  <c r="L107" i="1"/>
  <c r="L174" i="1"/>
  <c r="L132" i="1"/>
  <c r="L123" i="1"/>
  <c r="L180" i="1"/>
  <c r="L157" i="1"/>
  <c r="L39" i="1"/>
  <c r="L110" i="1"/>
  <c r="L198" i="1"/>
  <c r="L171" i="1"/>
  <c r="L186" i="1"/>
  <c r="L65" i="1"/>
  <c r="L163" i="1"/>
  <c r="L113" i="1"/>
  <c r="L172" i="1"/>
  <c r="L118" i="1"/>
  <c r="L120" i="1"/>
  <c r="L166" i="1"/>
  <c r="L241" i="1"/>
  <c r="L161" i="1"/>
  <c r="L130" i="1"/>
  <c r="L144" i="1"/>
  <c r="L226" i="1"/>
  <c r="L183" i="1"/>
  <c r="L188" i="1"/>
  <c r="L227" i="1"/>
  <c r="L101" i="1"/>
  <c r="L190" i="1"/>
  <c r="L135" i="1"/>
  <c r="L131" i="1"/>
  <c r="L167" i="1"/>
  <c r="L203" i="1"/>
  <c r="L133" i="1"/>
  <c r="L204" i="1"/>
  <c r="L76" i="1"/>
  <c r="L233" i="1"/>
  <c r="L195" i="1"/>
  <c r="L111" i="1"/>
  <c r="L15" i="1"/>
  <c r="L177" i="1"/>
  <c r="L109" i="1"/>
  <c r="L140" i="1"/>
  <c r="L156" i="1"/>
  <c r="L155" i="1"/>
  <c r="L127" i="1"/>
  <c r="L162" i="1"/>
  <c r="L147" i="1"/>
  <c r="L211" i="1"/>
  <c r="L191" i="1"/>
  <c r="L168" i="1"/>
  <c r="L103" i="1"/>
  <c r="L194" i="1"/>
  <c r="L219" i="1"/>
  <c r="L231" i="1"/>
  <c r="L193" i="1"/>
  <c r="L236" i="1"/>
  <c r="L230" i="1"/>
  <c r="L218" i="1"/>
  <c r="L170" i="1"/>
  <c r="L192" i="1"/>
  <c r="L222" i="1"/>
  <c r="L238" i="1"/>
  <c r="L201" i="1"/>
  <c r="L242" i="1"/>
  <c r="L159" i="1"/>
  <c r="L239" i="1"/>
  <c r="L213" i="1"/>
  <c r="L212" i="1"/>
  <c r="L4" i="1"/>
  <c r="L196" i="1"/>
  <c r="L229" i="1"/>
  <c r="L228" i="1"/>
  <c r="L216" i="1"/>
  <c r="L179" i="1"/>
  <c r="L189" i="1"/>
  <c r="L210" i="1"/>
  <c r="L221" i="1"/>
  <c r="L178" i="1"/>
  <c r="L206" i="1"/>
  <c r="L225" i="1"/>
  <c r="L243" i="1"/>
  <c r="L235" i="1"/>
  <c r="L244" i="1"/>
  <c r="L245" i="1"/>
  <c r="L2" i="1"/>
  <c r="K3" i="1"/>
  <c r="K5" i="1"/>
  <c r="K50" i="1"/>
  <c r="K114" i="1"/>
  <c r="K55" i="1"/>
  <c r="K223" i="1"/>
  <c r="K28" i="1"/>
  <c r="K10" i="1"/>
  <c r="K19" i="1"/>
  <c r="K16" i="1"/>
  <c r="K138" i="1"/>
  <c r="K7" i="1"/>
  <c r="K8" i="1"/>
  <c r="K14" i="1"/>
  <c r="K32" i="1"/>
  <c r="K11" i="1"/>
  <c r="K197" i="1"/>
  <c r="K43" i="1"/>
  <c r="K47" i="1"/>
  <c r="K31" i="1"/>
  <c r="K142" i="1"/>
  <c r="K34" i="1"/>
  <c r="K9" i="1"/>
  <c r="K90" i="1"/>
  <c r="K38" i="1"/>
  <c r="K18" i="1"/>
  <c r="K87" i="1"/>
  <c r="K66" i="1"/>
  <c r="K29" i="1"/>
  <c r="K41" i="1"/>
  <c r="K85" i="1"/>
  <c r="K26" i="1"/>
  <c r="K24" i="1"/>
  <c r="K67" i="1"/>
  <c r="K22" i="1"/>
  <c r="K17" i="1"/>
  <c r="K125" i="1"/>
  <c r="K35" i="1"/>
  <c r="K46" i="1"/>
  <c r="K20" i="1"/>
  <c r="K12" i="1"/>
  <c r="K83" i="1"/>
  <c r="K42" i="1"/>
  <c r="K33" i="1"/>
  <c r="K13" i="1"/>
  <c r="K63" i="1"/>
  <c r="K52" i="1"/>
  <c r="K102" i="1"/>
  <c r="K69" i="1"/>
  <c r="K58" i="1"/>
  <c r="K94" i="1"/>
  <c r="K78" i="1"/>
  <c r="K37" i="1"/>
  <c r="K45" i="1"/>
  <c r="K25" i="1"/>
  <c r="K74" i="1"/>
  <c r="K97" i="1"/>
  <c r="K6" i="1"/>
  <c r="K59" i="1"/>
  <c r="K187" i="1"/>
  <c r="K146" i="1"/>
  <c r="K108" i="1"/>
  <c r="K99" i="1"/>
  <c r="K70" i="1"/>
  <c r="K30" i="1"/>
  <c r="K126" i="1"/>
  <c r="K77" i="1"/>
  <c r="K217" i="1"/>
  <c r="K27" i="1"/>
  <c r="K56" i="1"/>
  <c r="K68" i="1"/>
  <c r="K57" i="1"/>
  <c r="K214" i="1"/>
  <c r="K21" i="1"/>
  <c r="K182" i="1"/>
  <c r="K202" i="1"/>
  <c r="K173" i="1"/>
  <c r="K150" i="1"/>
  <c r="K53" i="1"/>
  <c r="K88" i="1"/>
  <c r="K95" i="1"/>
  <c r="K185" i="1"/>
  <c r="K208" i="1"/>
  <c r="K82" i="1"/>
  <c r="K176" i="1"/>
  <c r="K79" i="1"/>
  <c r="K44" i="1"/>
  <c r="K92" i="1"/>
  <c r="K54" i="1"/>
  <c r="K98" i="1"/>
  <c r="K160" i="1"/>
  <c r="K105" i="1"/>
  <c r="K139" i="1"/>
  <c r="K40" i="1"/>
  <c r="K124" i="1"/>
  <c r="K158" i="1"/>
  <c r="K106" i="1"/>
  <c r="K136" i="1"/>
  <c r="K49" i="1"/>
  <c r="K36" i="1"/>
  <c r="K240" i="1"/>
  <c r="K75" i="1"/>
  <c r="K73" i="1"/>
  <c r="K51" i="1"/>
  <c r="K104" i="1"/>
  <c r="K61" i="1"/>
  <c r="K100" i="1"/>
  <c r="K48" i="1"/>
  <c r="K119" i="1"/>
  <c r="K181" i="1"/>
  <c r="K207" i="1"/>
  <c r="K23" i="1"/>
  <c r="K64" i="1"/>
  <c r="K122" i="1"/>
  <c r="K117" i="1"/>
  <c r="K62" i="1"/>
  <c r="K116" i="1"/>
  <c r="K153" i="1"/>
  <c r="K60" i="1"/>
  <c r="K151" i="1"/>
  <c r="K169" i="1"/>
  <c r="K184" i="1"/>
  <c r="K137" i="1"/>
  <c r="K145" i="1"/>
  <c r="K84" i="1"/>
  <c r="K134" i="1"/>
  <c r="K129" i="1"/>
  <c r="K232" i="1"/>
  <c r="K115" i="1"/>
  <c r="K175" i="1"/>
  <c r="K143" i="1"/>
  <c r="K165" i="1"/>
  <c r="K209" i="1"/>
  <c r="K164" i="1"/>
  <c r="K86" i="1"/>
  <c r="K72" i="1"/>
  <c r="K121" i="1"/>
  <c r="K237" i="1"/>
  <c r="K234" i="1"/>
  <c r="K205" i="1"/>
  <c r="K96" i="1"/>
  <c r="K154" i="1"/>
  <c r="K91" i="1"/>
  <c r="K89" i="1"/>
  <c r="K141" i="1"/>
  <c r="K81" i="1"/>
  <c r="K71" i="1"/>
  <c r="K112" i="1"/>
  <c r="K128" i="1"/>
  <c r="K215" i="1"/>
  <c r="K224" i="1"/>
  <c r="K200" i="1"/>
  <c r="K199" i="1"/>
  <c r="K149" i="1"/>
  <c r="K93" i="1"/>
  <c r="K148" i="1"/>
  <c r="K220" i="1"/>
  <c r="K152" i="1"/>
  <c r="K80" i="1"/>
  <c r="K107" i="1"/>
  <c r="K174" i="1"/>
  <c r="K132" i="1"/>
  <c r="K123" i="1"/>
  <c r="K180" i="1"/>
  <c r="K157" i="1"/>
  <c r="K39" i="1"/>
  <c r="K110" i="1"/>
  <c r="K198" i="1"/>
  <c r="K171" i="1"/>
  <c r="K186" i="1"/>
  <c r="K65" i="1"/>
  <c r="K163" i="1"/>
  <c r="K113" i="1"/>
  <c r="K172" i="1"/>
  <c r="K118" i="1"/>
  <c r="K120" i="1"/>
  <c r="K166" i="1"/>
  <c r="K241" i="1"/>
  <c r="K161" i="1"/>
  <c r="K130" i="1"/>
  <c r="K144" i="1"/>
  <c r="K226" i="1"/>
  <c r="K183" i="1"/>
  <c r="K188" i="1"/>
  <c r="K227" i="1"/>
  <c r="K101" i="1"/>
  <c r="K190" i="1"/>
  <c r="K135" i="1"/>
  <c r="K131" i="1"/>
  <c r="K167" i="1"/>
  <c r="K203" i="1"/>
  <c r="K133" i="1"/>
  <c r="K204" i="1"/>
  <c r="K76" i="1"/>
  <c r="K233" i="1"/>
  <c r="K195" i="1"/>
  <c r="K111" i="1"/>
  <c r="K15" i="1"/>
  <c r="K177" i="1"/>
  <c r="K109" i="1"/>
  <c r="K140" i="1"/>
  <c r="K156" i="1"/>
  <c r="K155" i="1"/>
  <c r="K127" i="1"/>
  <c r="K162" i="1"/>
  <c r="K147" i="1"/>
  <c r="K211" i="1"/>
  <c r="K191" i="1"/>
  <c r="K168" i="1"/>
  <c r="K103" i="1"/>
  <c r="K194" i="1"/>
  <c r="K219" i="1"/>
  <c r="K231" i="1"/>
  <c r="K193" i="1"/>
  <c r="K236" i="1"/>
  <c r="K230" i="1"/>
  <c r="K218" i="1"/>
  <c r="K170" i="1"/>
  <c r="K192" i="1"/>
  <c r="K222" i="1"/>
  <c r="K238" i="1"/>
  <c r="K201" i="1"/>
  <c r="K242" i="1"/>
  <c r="K159" i="1"/>
  <c r="K239" i="1"/>
  <c r="K213" i="1"/>
  <c r="K212" i="1"/>
  <c r="K4" i="1"/>
  <c r="K196" i="1"/>
  <c r="K229" i="1"/>
  <c r="K228" i="1"/>
  <c r="K216" i="1"/>
  <c r="K179" i="1"/>
  <c r="K189" i="1"/>
  <c r="K210" i="1"/>
  <c r="K221" i="1"/>
  <c r="K178" i="1"/>
  <c r="K206" i="1"/>
  <c r="K225" i="1"/>
  <c r="K243" i="1"/>
  <c r="K235" i="1"/>
  <c r="K244" i="1"/>
  <c r="K245" i="1"/>
  <c r="K2" i="1"/>
  <c r="J3" i="1"/>
  <c r="J5" i="1"/>
  <c r="J50" i="1"/>
  <c r="J114" i="1"/>
  <c r="J55" i="1"/>
  <c r="J223" i="1"/>
  <c r="J28" i="1"/>
  <c r="J10" i="1"/>
  <c r="J19" i="1"/>
  <c r="J16" i="1"/>
  <c r="J138" i="1"/>
  <c r="J7" i="1"/>
  <c r="J8" i="1"/>
  <c r="J14" i="1"/>
  <c r="J32" i="1"/>
  <c r="J11" i="1"/>
  <c r="J197" i="1"/>
  <c r="J43" i="1"/>
  <c r="J47" i="1"/>
  <c r="J31" i="1"/>
  <c r="J142" i="1"/>
  <c r="J34" i="1"/>
  <c r="J9" i="1"/>
  <c r="J90" i="1"/>
  <c r="J38" i="1"/>
  <c r="J18" i="1"/>
  <c r="J87" i="1"/>
  <c r="J66" i="1"/>
  <c r="J29" i="1"/>
  <c r="J41" i="1"/>
  <c r="J85" i="1"/>
  <c r="J26" i="1"/>
  <c r="J24" i="1"/>
  <c r="J67" i="1"/>
  <c r="J22" i="1"/>
  <c r="J17" i="1"/>
  <c r="J125" i="1"/>
  <c r="J35" i="1"/>
  <c r="J46" i="1"/>
  <c r="J20" i="1"/>
  <c r="J12" i="1"/>
  <c r="J83" i="1"/>
  <c r="J42" i="1"/>
  <c r="J33" i="1"/>
  <c r="J13" i="1"/>
  <c r="J63" i="1"/>
  <c r="J52" i="1"/>
  <c r="J102" i="1"/>
  <c r="J69" i="1"/>
  <c r="J58" i="1"/>
  <c r="J94" i="1"/>
  <c r="J78" i="1"/>
  <c r="J37" i="1"/>
  <c r="J45" i="1"/>
  <c r="J25" i="1"/>
  <c r="J74" i="1"/>
  <c r="J97" i="1"/>
  <c r="J6" i="1"/>
  <c r="J59" i="1"/>
  <c r="J187" i="1"/>
  <c r="J146" i="1"/>
  <c r="J108" i="1"/>
  <c r="J99" i="1"/>
  <c r="J70" i="1"/>
  <c r="J30" i="1"/>
  <c r="J126" i="1"/>
  <c r="J77" i="1"/>
  <c r="J217" i="1"/>
  <c r="J27" i="1"/>
  <c r="J56" i="1"/>
  <c r="J68" i="1"/>
  <c r="J57" i="1"/>
  <c r="J214" i="1"/>
  <c r="J21" i="1"/>
  <c r="J182" i="1"/>
  <c r="J202" i="1"/>
  <c r="J173" i="1"/>
  <c r="J150" i="1"/>
  <c r="J53" i="1"/>
  <c r="J88" i="1"/>
  <c r="J95" i="1"/>
  <c r="J185" i="1"/>
  <c r="J208" i="1"/>
  <c r="J82" i="1"/>
  <c r="J176" i="1"/>
  <c r="J79" i="1"/>
  <c r="J44" i="1"/>
  <c r="J92" i="1"/>
  <c r="J54" i="1"/>
  <c r="J98" i="1"/>
  <c r="J160" i="1"/>
  <c r="J105" i="1"/>
  <c r="J139" i="1"/>
  <c r="J40" i="1"/>
  <c r="J124" i="1"/>
  <c r="J158" i="1"/>
  <c r="J106" i="1"/>
  <c r="J136" i="1"/>
  <c r="J49" i="1"/>
  <c r="J36" i="1"/>
  <c r="J240" i="1"/>
  <c r="J75" i="1"/>
  <c r="J73" i="1"/>
  <c r="J51" i="1"/>
  <c r="J104" i="1"/>
  <c r="J61" i="1"/>
  <c r="J100" i="1"/>
  <c r="J48" i="1"/>
  <c r="J119" i="1"/>
  <c r="J181" i="1"/>
  <c r="J207" i="1"/>
  <c r="J23" i="1"/>
  <c r="J64" i="1"/>
  <c r="J122" i="1"/>
  <c r="J117" i="1"/>
  <c r="J62" i="1"/>
  <c r="J116" i="1"/>
  <c r="J153" i="1"/>
  <c r="J60" i="1"/>
  <c r="J151" i="1"/>
  <c r="J169" i="1"/>
  <c r="J184" i="1"/>
  <c r="J137" i="1"/>
  <c r="J145" i="1"/>
  <c r="J84" i="1"/>
  <c r="J134" i="1"/>
  <c r="J129" i="1"/>
  <c r="J232" i="1"/>
  <c r="J115" i="1"/>
  <c r="J175" i="1"/>
  <c r="J143" i="1"/>
  <c r="J165" i="1"/>
  <c r="J209" i="1"/>
  <c r="J164" i="1"/>
  <c r="J86" i="1"/>
  <c r="J72" i="1"/>
  <c r="J121" i="1"/>
  <c r="J237" i="1"/>
  <c r="J234" i="1"/>
  <c r="J205" i="1"/>
  <c r="J96" i="1"/>
  <c r="J154" i="1"/>
  <c r="J91" i="1"/>
  <c r="J89" i="1"/>
  <c r="J141" i="1"/>
  <c r="J81" i="1"/>
  <c r="J71" i="1"/>
  <c r="J112" i="1"/>
  <c r="J128" i="1"/>
  <c r="J215" i="1"/>
  <c r="J224" i="1"/>
  <c r="J200" i="1"/>
  <c r="J199" i="1"/>
  <c r="J149" i="1"/>
  <c r="J93" i="1"/>
  <c r="J148" i="1"/>
  <c r="J220" i="1"/>
  <c r="J152" i="1"/>
  <c r="J80" i="1"/>
  <c r="J107" i="1"/>
  <c r="J174" i="1"/>
  <c r="J132" i="1"/>
  <c r="J123" i="1"/>
  <c r="J180" i="1"/>
  <c r="J157" i="1"/>
  <c r="J39" i="1"/>
  <c r="J110" i="1"/>
  <c r="J198" i="1"/>
  <c r="J171" i="1"/>
  <c r="J186" i="1"/>
  <c r="J65" i="1"/>
  <c r="J163" i="1"/>
  <c r="J113" i="1"/>
  <c r="J172" i="1"/>
  <c r="J118" i="1"/>
  <c r="J120" i="1"/>
  <c r="J166" i="1"/>
  <c r="J241" i="1"/>
  <c r="J161" i="1"/>
  <c r="J130" i="1"/>
  <c r="J144" i="1"/>
  <c r="J226" i="1"/>
  <c r="J183" i="1"/>
  <c r="J188" i="1"/>
  <c r="J227" i="1"/>
  <c r="J101" i="1"/>
  <c r="J190" i="1"/>
  <c r="J135" i="1"/>
  <c r="J131" i="1"/>
  <c r="J167" i="1"/>
  <c r="J203" i="1"/>
  <c r="J133" i="1"/>
  <c r="J204" i="1"/>
  <c r="J76" i="1"/>
  <c r="J233" i="1"/>
  <c r="J195" i="1"/>
  <c r="J111" i="1"/>
  <c r="J15" i="1"/>
  <c r="J177" i="1"/>
  <c r="J109" i="1"/>
  <c r="J140" i="1"/>
  <c r="J156" i="1"/>
  <c r="J155" i="1"/>
  <c r="J127" i="1"/>
  <c r="J162" i="1"/>
  <c r="J147" i="1"/>
  <c r="J211" i="1"/>
  <c r="J191" i="1"/>
  <c r="J168" i="1"/>
  <c r="J103" i="1"/>
  <c r="J194" i="1"/>
  <c r="J219" i="1"/>
  <c r="J231" i="1"/>
  <c r="J193" i="1"/>
  <c r="J236" i="1"/>
  <c r="J230" i="1"/>
  <c r="J218" i="1"/>
  <c r="J170" i="1"/>
  <c r="J192" i="1"/>
  <c r="J222" i="1"/>
  <c r="J238" i="1"/>
  <c r="J201" i="1"/>
  <c r="J242" i="1"/>
  <c r="J159" i="1"/>
  <c r="J239" i="1"/>
  <c r="J213" i="1"/>
  <c r="J212" i="1"/>
  <c r="J4" i="1"/>
  <c r="J196" i="1"/>
  <c r="J229" i="1"/>
  <c r="J228" i="1"/>
  <c r="J216" i="1"/>
  <c r="J179" i="1"/>
  <c r="J189" i="1"/>
  <c r="J210" i="1"/>
  <c r="J221" i="1"/>
  <c r="J178" i="1"/>
  <c r="J206" i="1"/>
  <c r="J225" i="1"/>
  <c r="J243" i="1"/>
  <c r="J235" i="1"/>
  <c r="J244" i="1"/>
  <c r="J245" i="1"/>
  <c r="J2" i="1"/>
  <c r="H4" i="1"/>
  <c r="H3"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72" i="1"/>
  <c r="H50" i="1"/>
  <c r="H51" i="1"/>
  <c r="H52" i="1"/>
  <c r="H53" i="1"/>
  <c r="H54" i="1"/>
  <c r="H55" i="1"/>
  <c r="H56" i="1"/>
  <c r="H57" i="1"/>
  <c r="H58" i="1"/>
  <c r="H59" i="1"/>
  <c r="H60" i="1"/>
  <c r="H75" i="1"/>
  <c r="H76" i="1"/>
  <c r="H77" i="1"/>
  <c r="H73" i="1"/>
  <c r="H61" i="1"/>
  <c r="H62" i="1"/>
  <c r="H63" i="1"/>
  <c r="H64" i="1"/>
  <c r="H79" i="1"/>
  <c r="H65" i="1"/>
  <c r="H66" i="1"/>
  <c r="H67" i="1"/>
  <c r="H68" i="1"/>
  <c r="H74" i="1"/>
  <c r="H69" i="1"/>
  <c r="H78" i="1"/>
  <c r="H70" i="1"/>
  <c r="H71" i="1"/>
  <c r="H80" i="1"/>
  <c r="H81" i="1"/>
  <c r="H82" i="1"/>
  <c r="H83" i="1"/>
  <c r="H84" i="1"/>
  <c r="H85" i="1"/>
  <c r="H86" i="1"/>
  <c r="H87" i="1"/>
  <c r="H88" i="1"/>
  <c r="H89" i="1"/>
  <c r="H90" i="1"/>
  <c r="H91" i="1"/>
  <c r="H93" i="1"/>
  <c r="H92" i="1"/>
  <c r="H94" i="1"/>
  <c r="H96" i="1"/>
  <c r="H95" i="1"/>
  <c r="H97" i="1"/>
  <c r="H98" i="1"/>
  <c r="H99" i="1"/>
  <c r="H109" i="1"/>
  <c r="H100" i="1"/>
  <c r="H101" i="1"/>
  <c r="H108" i="1"/>
  <c r="H102" i="1"/>
  <c r="H103" i="1"/>
  <c r="H104" i="1"/>
  <c r="H105" i="1"/>
  <c r="H106" i="1"/>
  <c r="H107" i="1"/>
  <c r="H110" i="1"/>
  <c r="H111" i="1"/>
  <c r="H112" i="1"/>
  <c r="H113" i="1"/>
  <c r="H114" i="1"/>
  <c r="H115" i="1"/>
  <c r="H116" i="1"/>
  <c r="H117" i="1"/>
  <c r="H118" i="1"/>
  <c r="H119" i="1"/>
  <c r="H120" i="1"/>
  <c r="H121" i="1"/>
  <c r="H122" i="1"/>
  <c r="H123" i="1"/>
  <c r="H124" i="1"/>
  <c r="H143" i="1"/>
  <c r="H125" i="1"/>
  <c r="H126" i="1"/>
  <c r="H127" i="1"/>
  <c r="H128" i="1"/>
  <c r="H144" i="1"/>
  <c r="H140" i="1"/>
  <c r="H129" i="1"/>
  <c r="H130" i="1"/>
  <c r="H131" i="1"/>
  <c r="H132" i="1"/>
  <c r="H133" i="1"/>
  <c r="H134" i="1"/>
  <c r="H135" i="1"/>
  <c r="H136" i="1"/>
  <c r="H137" i="1"/>
  <c r="H145" i="1"/>
  <c r="H147" i="1"/>
  <c r="H141" i="1"/>
  <c r="H146" i="1"/>
  <c r="H142" i="1"/>
  <c r="H138" i="1"/>
  <c r="H139" i="1"/>
  <c r="H148" i="1"/>
  <c r="H149" i="1"/>
  <c r="H150" i="1"/>
  <c r="H151" i="1"/>
  <c r="H152" i="1"/>
  <c r="H153" i="1"/>
  <c r="H154" i="1"/>
  <c r="H155" i="1"/>
  <c r="H156" i="1"/>
  <c r="H157" i="1"/>
  <c r="H158" i="1"/>
  <c r="H159" i="1"/>
  <c r="H160" i="1"/>
  <c r="H161" i="1"/>
  <c r="H162" i="1"/>
  <c r="H163" i="1"/>
  <c r="H164" i="1"/>
  <c r="H165" i="1"/>
  <c r="H166" i="1"/>
  <c r="H167" i="1"/>
  <c r="H168" i="1"/>
  <c r="H169" i="1"/>
  <c r="H170" i="1"/>
  <c r="H171" i="1"/>
  <c r="H173" i="1"/>
  <c r="H172" i="1"/>
  <c r="H177" i="1"/>
  <c r="H178" i="1"/>
  <c r="H174" i="1"/>
  <c r="H175" i="1"/>
  <c r="H176" i="1"/>
  <c r="H182" i="1"/>
  <c r="H179" i="1"/>
  <c r="H180" i="1"/>
  <c r="H181" i="1"/>
  <c r="H183" i="1"/>
  <c r="H184" i="1"/>
  <c r="H185" i="1"/>
  <c r="H186" i="1"/>
  <c r="H187" i="1"/>
  <c r="H188" i="1"/>
  <c r="H189" i="1"/>
  <c r="H191" i="1"/>
  <c r="H190" i="1"/>
  <c r="H192" i="1"/>
  <c r="H203" i="1"/>
  <c r="H193" i="1"/>
  <c r="H194" i="1"/>
  <c r="H195" i="1"/>
  <c r="H199" i="1"/>
  <c r="H200" i="1"/>
  <c r="H196" i="1"/>
  <c r="H197" i="1"/>
  <c r="H201" i="1"/>
  <c r="H198" i="1"/>
  <c r="H202" i="1"/>
  <c r="H204" i="1"/>
  <c r="H205" i="1"/>
  <c r="H206" i="1"/>
  <c r="H207" i="1"/>
  <c r="H208" i="1"/>
  <c r="H209" i="1"/>
  <c r="H210" i="1"/>
  <c r="H211" i="1"/>
  <c r="H212" i="1"/>
  <c r="H213" i="1"/>
  <c r="H214" i="1"/>
  <c r="H215" i="1"/>
  <c r="H216" i="1"/>
  <c r="H217" i="1"/>
  <c r="H222" i="1"/>
  <c r="H221" i="1"/>
  <c r="H218" i="1"/>
  <c r="H219" i="1"/>
  <c r="H220" i="1"/>
  <c r="H224" i="1"/>
  <c r="H226" i="1"/>
  <c r="H227" i="1"/>
  <c r="H225" i="1"/>
  <c r="H223" i="1"/>
  <c r="H228" i="1"/>
  <c r="H229" i="1"/>
  <c r="H230" i="1"/>
  <c r="H231" i="1"/>
  <c r="H232" i="1"/>
  <c r="H233" i="1"/>
  <c r="H234" i="1"/>
  <c r="H235" i="1"/>
  <c r="H236" i="1"/>
  <c r="H237" i="1"/>
  <c r="H238" i="1"/>
  <c r="H240" i="1"/>
  <c r="H239" i="1"/>
  <c r="H241" i="1"/>
  <c r="H242" i="1"/>
  <c r="H243" i="1"/>
  <c r="H244" i="1"/>
  <c r="H245" i="1"/>
  <c r="H2" i="1"/>
  <c r="S3" i="1"/>
  <c r="S7" i="1"/>
  <c r="S11" i="1"/>
  <c r="S15" i="1"/>
  <c r="S19" i="1"/>
  <c r="S23" i="1"/>
  <c r="S27" i="1"/>
  <c r="S31" i="1"/>
  <c r="S35" i="1"/>
  <c r="S39" i="1"/>
  <c r="S43" i="1"/>
  <c r="S47" i="1"/>
  <c r="S51" i="1"/>
  <c r="S55" i="1"/>
  <c r="S59" i="1"/>
  <c r="S63" i="1"/>
  <c r="S67" i="1"/>
  <c r="S71" i="1"/>
  <c r="S75" i="1"/>
  <c r="S79" i="1"/>
  <c r="S83" i="1"/>
  <c r="S87" i="1"/>
  <c r="S91" i="1"/>
  <c r="S95" i="1"/>
  <c r="S99" i="1"/>
  <c r="S103" i="1"/>
  <c r="S107" i="1"/>
  <c r="S111" i="1"/>
  <c r="S115" i="1"/>
  <c r="S119" i="1"/>
  <c r="S123" i="1"/>
  <c r="S127" i="1"/>
  <c r="S131" i="1"/>
  <c r="S135" i="1"/>
  <c r="S139" i="1"/>
  <c r="S143" i="1"/>
  <c r="S147" i="1"/>
  <c r="S151" i="1"/>
  <c r="S155" i="1"/>
  <c r="S159" i="1"/>
  <c r="S163" i="1"/>
  <c r="S167" i="1"/>
  <c r="S171" i="1"/>
  <c r="S175" i="1"/>
  <c r="S179" i="1"/>
  <c r="S183" i="1"/>
  <c r="S187" i="1"/>
  <c r="S191" i="1"/>
  <c r="S195" i="1"/>
  <c r="S199" i="1"/>
  <c r="S203" i="1"/>
  <c r="S207" i="1"/>
  <c r="S211" i="1"/>
  <c r="S215" i="1"/>
  <c r="S219" i="1"/>
  <c r="S223" i="1"/>
  <c r="S227" i="1"/>
  <c r="S231" i="1"/>
  <c r="S235" i="1"/>
  <c r="S239" i="1"/>
  <c r="S243" i="1"/>
  <c r="S68" i="1"/>
  <c r="S108" i="1"/>
  <c r="S116" i="1"/>
  <c r="S124" i="1"/>
  <c r="S160" i="1"/>
  <c r="S172" i="1"/>
  <c r="S180" i="1"/>
  <c r="S188" i="1"/>
  <c r="S200" i="1"/>
  <c r="S208" i="1"/>
  <c r="S216" i="1"/>
  <c r="S220" i="1"/>
  <c r="S228" i="1"/>
  <c r="S240" i="1"/>
  <c r="S138" i="1"/>
  <c r="S182" i="1"/>
  <c r="S194" i="1"/>
  <c r="S206" i="1"/>
  <c r="S218" i="1"/>
  <c r="S230" i="1"/>
  <c r="S242" i="1"/>
  <c r="S4" i="1"/>
  <c r="S8" i="1"/>
  <c r="S12" i="1"/>
  <c r="S16" i="1"/>
  <c r="S20" i="1"/>
  <c r="S24" i="1"/>
  <c r="S28" i="1"/>
  <c r="S32" i="1"/>
  <c r="S36" i="1"/>
  <c r="S40" i="1"/>
  <c r="S44" i="1"/>
  <c r="S48" i="1"/>
  <c r="S52" i="1"/>
  <c r="S56" i="1"/>
  <c r="S60" i="1"/>
  <c r="S64" i="1"/>
  <c r="S72" i="1"/>
  <c r="S76" i="1"/>
  <c r="S80" i="1"/>
  <c r="S84" i="1"/>
  <c r="S88" i="1"/>
  <c r="S92" i="1"/>
  <c r="S96" i="1"/>
  <c r="S100" i="1"/>
  <c r="S104" i="1"/>
  <c r="S112" i="1"/>
  <c r="S120" i="1"/>
  <c r="S128" i="1"/>
  <c r="S132" i="1"/>
  <c r="S136" i="1"/>
  <c r="S140" i="1"/>
  <c r="S144" i="1"/>
  <c r="S148" i="1"/>
  <c r="S152" i="1"/>
  <c r="S156" i="1"/>
  <c r="S164" i="1"/>
  <c r="S168" i="1"/>
  <c r="S176" i="1"/>
  <c r="S184" i="1"/>
  <c r="S192" i="1"/>
  <c r="S196" i="1"/>
  <c r="S204" i="1"/>
  <c r="S212" i="1"/>
  <c r="S224" i="1"/>
  <c r="S232" i="1"/>
  <c r="S236" i="1"/>
  <c r="S244" i="1"/>
  <c r="S142" i="1"/>
  <c r="S174" i="1"/>
  <c r="S186" i="1"/>
  <c r="S198" i="1"/>
  <c r="S210" i="1"/>
  <c r="S222" i="1"/>
  <c r="S234" i="1"/>
  <c r="S5" i="1"/>
  <c r="S9" i="1"/>
  <c r="S13" i="1"/>
  <c r="S17" i="1"/>
  <c r="S21" i="1"/>
  <c r="S25" i="1"/>
  <c r="S29" i="1"/>
  <c r="S33" i="1"/>
  <c r="S37" i="1"/>
  <c r="S41" i="1"/>
  <c r="S45" i="1"/>
  <c r="S49" i="1"/>
  <c r="S53" i="1"/>
  <c r="S57" i="1"/>
  <c r="S61" i="1"/>
  <c r="S65" i="1"/>
  <c r="S69" i="1"/>
  <c r="S73" i="1"/>
  <c r="S77" i="1"/>
  <c r="S81" i="1"/>
  <c r="S85" i="1"/>
  <c r="S89" i="1"/>
  <c r="S93" i="1"/>
  <c r="S97" i="1"/>
  <c r="S101" i="1"/>
  <c r="S105" i="1"/>
  <c r="S109" i="1"/>
  <c r="S113" i="1"/>
  <c r="S117" i="1"/>
  <c r="S121" i="1"/>
  <c r="S125" i="1"/>
  <c r="S129" i="1"/>
  <c r="S133" i="1"/>
  <c r="S137" i="1"/>
  <c r="S141" i="1"/>
  <c r="S145" i="1"/>
  <c r="S149" i="1"/>
  <c r="S153" i="1"/>
  <c r="S157" i="1"/>
  <c r="S161" i="1"/>
  <c r="S165" i="1"/>
  <c r="S169" i="1"/>
  <c r="S173" i="1"/>
  <c r="S177" i="1"/>
  <c r="S181" i="1"/>
  <c r="S185" i="1"/>
  <c r="S189" i="1"/>
  <c r="S193" i="1"/>
  <c r="S197" i="1"/>
  <c r="S201" i="1"/>
  <c r="S205" i="1"/>
  <c r="S209" i="1"/>
  <c r="S213" i="1"/>
  <c r="S217" i="1"/>
  <c r="S221" i="1"/>
  <c r="S225" i="1"/>
  <c r="S229" i="1"/>
  <c r="S233" i="1"/>
  <c r="S237" i="1"/>
  <c r="S241" i="1"/>
  <c r="S245" i="1"/>
  <c r="S6" i="1"/>
  <c r="S10" i="1"/>
  <c r="S14" i="1"/>
  <c r="S18" i="1"/>
  <c r="S22" i="1"/>
  <c r="S26" i="1"/>
  <c r="S30" i="1"/>
  <c r="S34" i="1"/>
  <c r="S38" i="1"/>
  <c r="S42" i="1"/>
  <c r="S46" i="1"/>
  <c r="S50" i="1"/>
  <c r="S54" i="1"/>
  <c r="S58" i="1"/>
  <c r="S62" i="1"/>
  <c r="S66" i="1"/>
  <c r="S70" i="1"/>
  <c r="S74" i="1"/>
  <c r="S78" i="1"/>
  <c r="S82" i="1"/>
  <c r="S86" i="1"/>
  <c r="S90" i="1"/>
  <c r="S94" i="1"/>
  <c r="S98" i="1"/>
  <c r="S102" i="1"/>
  <c r="S106" i="1"/>
  <c r="S110" i="1"/>
  <c r="S114" i="1"/>
  <c r="S118" i="1"/>
  <c r="S122" i="1"/>
  <c r="S126" i="1"/>
  <c r="S130" i="1"/>
  <c r="S134" i="1"/>
  <c r="S146" i="1"/>
  <c r="S150" i="1"/>
  <c r="S154" i="1"/>
  <c r="S158" i="1"/>
  <c r="S162" i="1"/>
  <c r="S166" i="1"/>
  <c r="S170" i="1"/>
  <c r="S178" i="1"/>
  <c r="S190" i="1"/>
  <c r="S202" i="1"/>
  <c r="S214" i="1"/>
  <c r="S226" i="1"/>
  <c r="S238" i="1"/>
  <c r="S2" i="1"/>
  <c r="R12" i="1"/>
  <c r="R3" i="1"/>
  <c r="R19" i="1"/>
  <c r="R35" i="1"/>
  <c r="R51" i="1"/>
  <c r="R67" i="1"/>
  <c r="R83" i="1"/>
  <c r="R99" i="1"/>
  <c r="R115" i="1"/>
  <c r="R131" i="1"/>
  <c r="R147" i="1"/>
  <c r="R163" i="1"/>
  <c r="R179" i="1"/>
  <c r="R195" i="1"/>
  <c r="R211" i="1"/>
  <c r="R227" i="1"/>
  <c r="R243" i="1"/>
  <c r="R16" i="1"/>
  <c r="R32" i="1"/>
  <c r="R48" i="1"/>
  <c r="R64" i="1"/>
  <c r="R80" i="1"/>
  <c r="R96" i="1"/>
  <c r="R112" i="1"/>
  <c r="R128" i="1"/>
  <c r="R144" i="1"/>
  <c r="R160" i="1"/>
  <c r="R176" i="1"/>
  <c r="R192" i="1"/>
  <c r="R208" i="1"/>
  <c r="R224" i="1"/>
  <c r="R240" i="1"/>
  <c r="R13" i="1"/>
  <c r="R29" i="1"/>
  <c r="R45" i="1"/>
  <c r="R61" i="1"/>
  <c r="R77" i="1"/>
  <c r="R93" i="1"/>
  <c r="R109" i="1"/>
  <c r="R125" i="1"/>
  <c r="R141" i="1"/>
  <c r="R157" i="1"/>
  <c r="R173" i="1"/>
  <c r="R189" i="1"/>
  <c r="R205" i="1"/>
  <c r="R221" i="1"/>
  <c r="R237" i="1"/>
  <c r="R10" i="1"/>
  <c r="R26" i="1"/>
  <c r="R42" i="1"/>
  <c r="R58" i="1"/>
  <c r="R74" i="1"/>
  <c r="R90" i="1"/>
  <c r="R106" i="1"/>
  <c r="R122" i="1"/>
  <c r="R138" i="1"/>
  <c r="R154" i="1"/>
  <c r="R170" i="1"/>
  <c r="R186" i="1"/>
  <c r="R202" i="1"/>
  <c r="R218" i="1"/>
  <c r="R234" i="1"/>
  <c r="R149" i="1"/>
  <c r="R197" i="1"/>
  <c r="R245" i="1"/>
  <c r="R50" i="1"/>
  <c r="R7" i="1"/>
  <c r="R23" i="1"/>
  <c r="R39" i="1"/>
  <c r="R55" i="1"/>
  <c r="R71" i="1"/>
  <c r="R87" i="1"/>
  <c r="R103" i="1"/>
  <c r="R119" i="1"/>
  <c r="R135" i="1"/>
  <c r="R151" i="1"/>
  <c r="R167" i="1"/>
  <c r="R183" i="1"/>
  <c r="R199" i="1"/>
  <c r="R215" i="1"/>
  <c r="R231" i="1"/>
  <c r="R4" i="1"/>
  <c r="R20" i="1"/>
  <c r="R36" i="1"/>
  <c r="R52" i="1"/>
  <c r="R68" i="1"/>
  <c r="R84" i="1"/>
  <c r="R100" i="1"/>
  <c r="R116" i="1"/>
  <c r="R132" i="1"/>
  <c r="R148" i="1"/>
  <c r="R164" i="1"/>
  <c r="R180" i="1"/>
  <c r="R196" i="1"/>
  <c r="R212" i="1"/>
  <c r="R228" i="1"/>
  <c r="R244" i="1"/>
  <c r="R17" i="1"/>
  <c r="R33" i="1"/>
  <c r="R49" i="1"/>
  <c r="R65" i="1"/>
  <c r="R81" i="1"/>
  <c r="R97" i="1"/>
  <c r="R113" i="1"/>
  <c r="R129" i="1"/>
  <c r="R145" i="1"/>
  <c r="R161" i="1"/>
  <c r="R177" i="1"/>
  <c r="R193" i="1"/>
  <c r="R209" i="1"/>
  <c r="R225" i="1"/>
  <c r="R241" i="1"/>
  <c r="R14" i="1"/>
  <c r="R30" i="1"/>
  <c r="R46" i="1"/>
  <c r="R62" i="1"/>
  <c r="R78" i="1"/>
  <c r="R94" i="1"/>
  <c r="R110" i="1"/>
  <c r="R126" i="1"/>
  <c r="R142" i="1"/>
  <c r="R158" i="1"/>
  <c r="R174" i="1"/>
  <c r="R190" i="1"/>
  <c r="R206" i="1"/>
  <c r="R222" i="1"/>
  <c r="R238" i="1"/>
  <c r="R101" i="1"/>
  <c r="R165" i="1"/>
  <c r="R213" i="1"/>
  <c r="R18" i="1"/>
  <c r="R178" i="1"/>
  <c r="R210" i="1"/>
  <c r="R242" i="1"/>
  <c r="R11" i="1"/>
  <c r="R27" i="1"/>
  <c r="R43" i="1"/>
  <c r="R59" i="1"/>
  <c r="R75" i="1"/>
  <c r="R91" i="1"/>
  <c r="R107" i="1"/>
  <c r="R123" i="1"/>
  <c r="R139" i="1"/>
  <c r="R155" i="1"/>
  <c r="R171" i="1"/>
  <c r="R187" i="1"/>
  <c r="R203" i="1"/>
  <c r="R219" i="1"/>
  <c r="R235" i="1"/>
  <c r="R8" i="1"/>
  <c r="R24" i="1"/>
  <c r="R40" i="1"/>
  <c r="R56" i="1"/>
  <c r="R72" i="1"/>
  <c r="R88" i="1"/>
  <c r="R104" i="1"/>
  <c r="R120" i="1"/>
  <c r="R136" i="1"/>
  <c r="R152" i="1"/>
  <c r="R168" i="1"/>
  <c r="R184" i="1"/>
  <c r="R200" i="1"/>
  <c r="R216" i="1"/>
  <c r="R232" i="1"/>
  <c r="R5" i="1"/>
  <c r="R21" i="1"/>
  <c r="R37" i="1"/>
  <c r="R53" i="1"/>
  <c r="R69" i="1"/>
  <c r="R85" i="1"/>
  <c r="R117" i="1"/>
  <c r="R133" i="1"/>
  <c r="R181" i="1"/>
  <c r="R229" i="1"/>
  <c r="R34" i="1"/>
  <c r="R66" i="1"/>
  <c r="R82" i="1"/>
  <c r="R98" i="1"/>
  <c r="R114" i="1"/>
  <c r="R130" i="1"/>
  <c r="R146" i="1"/>
  <c r="R162" i="1"/>
  <c r="R194" i="1"/>
  <c r="R226" i="1"/>
  <c r="R15" i="1"/>
  <c r="R31" i="1"/>
  <c r="R47" i="1"/>
  <c r="R63" i="1"/>
  <c r="R79" i="1"/>
  <c r="R95" i="1"/>
  <c r="R111" i="1"/>
  <c r="R127" i="1"/>
  <c r="R143" i="1"/>
  <c r="R159" i="1"/>
  <c r="R175" i="1"/>
  <c r="R191" i="1"/>
  <c r="R207" i="1"/>
  <c r="R223" i="1"/>
  <c r="R239" i="1"/>
  <c r="R28" i="1"/>
  <c r="R44" i="1"/>
  <c r="R60" i="1"/>
  <c r="R76" i="1"/>
  <c r="R92" i="1"/>
  <c r="R108" i="1"/>
  <c r="R124" i="1"/>
  <c r="R140" i="1"/>
  <c r="R156" i="1"/>
  <c r="R172" i="1"/>
  <c r="R188" i="1"/>
  <c r="R204" i="1"/>
  <c r="R220" i="1"/>
  <c r="R236" i="1"/>
  <c r="R9" i="1"/>
  <c r="R25" i="1"/>
  <c r="R41" i="1"/>
  <c r="R57" i="1"/>
  <c r="R73" i="1"/>
  <c r="R89" i="1"/>
  <c r="R105" i="1"/>
  <c r="R121" i="1"/>
  <c r="R137" i="1"/>
  <c r="R153" i="1"/>
  <c r="R169" i="1"/>
  <c r="R185" i="1"/>
  <c r="R201" i="1"/>
  <c r="R217" i="1"/>
  <c r="R233" i="1"/>
  <c r="R6" i="1"/>
  <c r="R22" i="1"/>
  <c r="R38" i="1"/>
  <c r="R54" i="1"/>
  <c r="R70" i="1"/>
  <c r="R86" i="1"/>
  <c r="R102" i="1"/>
  <c r="R118" i="1"/>
  <c r="R134" i="1"/>
  <c r="R150" i="1"/>
  <c r="R166" i="1"/>
  <c r="R182" i="1"/>
  <c r="R198" i="1"/>
  <c r="R214" i="1"/>
  <c r="R230" i="1"/>
  <c r="R2" i="1"/>
  <c r="Y14" i="1" l="1"/>
  <c r="Y15" i="1"/>
  <c r="Y19" i="1"/>
  <c r="Y16" i="1"/>
  <c r="Y17" i="1"/>
  <c r="Y18" i="1"/>
  <c r="X15" i="1"/>
  <c r="X14" i="1"/>
  <c r="X16" i="1"/>
  <c r="X17" i="1"/>
</calcChain>
</file>

<file path=xl/sharedStrings.xml><?xml version="1.0" encoding="utf-8"?>
<sst xmlns="http://schemas.openxmlformats.org/spreadsheetml/2006/main" count="1088" uniqueCount="75">
  <si>
    <t>sex</t>
  </si>
  <si>
    <t>smoker</t>
  </si>
  <si>
    <t>day</t>
  </si>
  <si>
    <t>time</t>
  </si>
  <si>
    <t>size</t>
  </si>
  <si>
    <t>total_bill</t>
  </si>
  <si>
    <t>tip</t>
  </si>
  <si>
    <t>Female</t>
  </si>
  <si>
    <t>No</t>
  </si>
  <si>
    <t>Sun</t>
  </si>
  <si>
    <t>Dinner</t>
  </si>
  <si>
    <t>Male</t>
  </si>
  <si>
    <t xml:space="preserve">sex </t>
  </si>
  <si>
    <t>Gender of the customer</t>
  </si>
  <si>
    <t>Indicates if the customer is a smoker or not</t>
  </si>
  <si>
    <t>Day of the restaurant visit</t>
  </si>
  <si>
    <t>Indicates whether the tip was for lunch or dinner</t>
  </si>
  <si>
    <t>Number of members dining</t>
  </si>
  <si>
    <t>total bill</t>
  </si>
  <si>
    <t>Bill amount in USD</t>
  </si>
  <si>
    <t>Tip amount in USD</t>
  </si>
  <si>
    <t>Sat</t>
  </si>
  <si>
    <t>Yes</t>
  </si>
  <si>
    <t>Thur</t>
  </si>
  <si>
    <t>Lunch</t>
  </si>
  <si>
    <t>Fri</t>
  </si>
  <si>
    <t>Find out if there are any missing values and clean the data</t>
  </si>
  <si>
    <t>Find the features that are independent and dependent</t>
  </si>
  <si>
    <t>Identify which predictive problem is needed.</t>
  </si>
  <si>
    <t>Encode the categorical variables to numeric values using IF conditions</t>
  </si>
  <si>
    <t>Build an appropriate model with the dataset. </t>
  </si>
  <si>
    <t>Calculate the predicted and actual tips values.</t>
  </si>
  <si>
    <t>Calculate the RMSE(Root Mean Square Error) of the model. RMSE is root of mean of square errors.</t>
  </si>
  <si>
    <t>Use excel to predict restaurant tips.</t>
  </si>
  <si>
    <t>no missing values</t>
  </si>
  <si>
    <t>dep: total bill, tip</t>
  </si>
  <si>
    <t>ind: sex, smoker, day, time, size</t>
  </si>
  <si>
    <t>tip %</t>
  </si>
  <si>
    <t>time (L=0,D=1)</t>
  </si>
  <si>
    <t>smoker (n=0, y=1)</t>
  </si>
  <si>
    <t>sex (m=0, f=1)</t>
  </si>
  <si>
    <t>Row Labels</t>
  </si>
  <si>
    <t>Grand Total</t>
  </si>
  <si>
    <t>Average of tip %</t>
  </si>
  <si>
    <t>Sum of total_bill</t>
  </si>
  <si>
    <t>Sum of size</t>
  </si>
  <si>
    <t>total</t>
  </si>
  <si>
    <t>Average of total_bill</t>
  </si>
  <si>
    <t>Average of tip</t>
  </si>
  <si>
    <t>Sex</t>
  </si>
  <si>
    <t>Smoker</t>
  </si>
  <si>
    <t>Day</t>
  </si>
  <si>
    <t>Size</t>
  </si>
  <si>
    <t>Time</t>
  </si>
  <si>
    <t>Everyone seems to always tip around 14-16% of the total bill</t>
  </si>
  <si>
    <t>There is an exception for people who dined alone where their average tip was 21.73%, however, that is usually because they do not buy a lot and they tip around a dollar, which is just greater proportionally</t>
  </si>
  <si>
    <t>predicted tip %</t>
  </si>
  <si>
    <t>tip amt</t>
  </si>
  <si>
    <t>For each independent numeric value, find its correlation coefficient with respect to the tip amount and percentage</t>
  </si>
  <si>
    <t>when looking at the strength between the variables and tip percentage, there is no significant correlation</t>
  </si>
  <si>
    <t>there is is stronger correlation for size and total with tip amount because they usually tip by percentage, so a bigger total is going to mean a bigger tip</t>
  </si>
  <si>
    <t>I added 3 columns to the table on the left</t>
  </si>
  <si>
    <t>the first is predicted average by percent where I take the total bill and multiply it by the average tip % of each variable. Ex for first row: avg(avg female tip %, avg smoker tip %, avg day tip %,…, avg size tip %) * total bill</t>
  </si>
  <si>
    <t>then the predicted avg by amount is the same as percent, but instead of average tip I used average amount</t>
  </si>
  <si>
    <t xml:space="preserve">Lastly, I averaged out both </t>
  </si>
  <si>
    <t>avg of avgs</t>
  </si>
  <si>
    <t>predicted tip by avg amts</t>
  </si>
  <si>
    <t>predicted tip by %</t>
  </si>
  <si>
    <t xml:space="preserve">In the chart, you can see that the least accurate to the actual would be the predicted average by amount. </t>
  </si>
  <si>
    <t>predicted avg by percent seems to follow the trend closer</t>
  </si>
  <si>
    <t>but the averaging of both seems to be the best fit</t>
  </si>
  <si>
    <t>avg of amt and %</t>
  </si>
  <si>
    <t>regression</t>
  </si>
  <si>
    <t>the smallest root mean square error is the average of both the tip amounts and tip %.</t>
  </si>
  <si>
    <t xml:space="preserve">this rsme data reflects the line chart well. The least accurate is predicted average by amount, followed by predicted average by percent, and the most accurate is the average of both.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</si>
</sst>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00"/>
  </numFmts>
  <fonts count="6" x14ac:knownFonts="1">
    <font>
      <sz val="11"/>
      <color theme="1"/>
      <name val="Calibri"/>
      <family val="2"/>
      <scheme val="minor"/>
    </font>
    <font>
      <sz val="10"/>
      <color rgb="FF646464"/>
      <name val="Arial"/>
      <family val="2"/>
    </font>
    <font>
      <b/>
      <sz val="11"/>
      <color rgb="FF646464"/>
      <name val="Arial"/>
      <family val="2"/>
    </font>
    <font>
      <sz val="11"/>
      <color theme="2" tint="-0.499984740745262"/>
      <name val="Calibri"/>
      <family val="2"/>
      <scheme val="minor"/>
    </font>
    <font>
      <b/>
      <sz val="11"/>
      <color theme="1"/>
      <name val="Calibri"/>
      <family val="2"/>
      <scheme val="minor"/>
    </font>
    <font>
      <sz val="11"/>
      <color theme="7"/>
      <name val="Calibri"/>
      <family val="2"/>
      <scheme val="minor"/>
    </font>
  </fonts>
  <fills count="4">
    <fill>
      <patternFill patternType="none"/>
    </fill>
    <fill>
      <patternFill patternType="gray125"/>
    </fill>
    <fill>
      <patternFill patternType="solid">
        <fgColor theme="7"/>
        <bgColor indexed="64"/>
      </patternFill>
    </fill>
    <fill>
      <patternFill patternType="solid">
        <fgColor theme="4" tint="0.79998168889431442"/>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style="thin">
        <color rgb="FF999999"/>
      </left>
      <right/>
      <top style="thin">
        <color rgb="FF999999"/>
      </top>
      <bottom/>
      <diagonal/>
    </border>
    <border>
      <left style="thin">
        <color rgb="FF999999"/>
      </left>
      <right/>
      <top style="thin">
        <color indexed="65"/>
      </top>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rgb="FF999999"/>
      </top>
      <bottom/>
      <diagonal/>
    </border>
    <border>
      <left/>
      <right/>
      <top style="thin">
        <color indexed="65"/>
      </top>
      <bottom/>
      <diagonal/>
    </border>
    <border>
      <left style="medium">
        <color indexed="64"/>
      </left>
      <right/>
      <top style="thin">
        <color rgb="FF999999"/>
      </top>
      <bottom/>
      <diagonal/>
    </border>
    <border>
      <left/>
      <right style="medium">
        <color indexed="64"/>
      </right>
      <top style="thin">
        <color rgb="FF999999"/>
      </top>
      <bottom/>
      <diagonal/>
    </border>
    <border>
      <left style="medium">
        <color indexed="64"/>
      </left>
      <right/>
      <top style="thin">
        <color indexed="65"/>
      </top>
      <bottom/>
      <diagonal/>
    </border>
    <border>
      <left/>
      <right style="medium">
        <color indexed="64"/>
      </right>
      <top style="thin">
        <color indexed="65"/>
      </top>
      <bottom/>
      <diagonal/>
    </border>
    <border>
      <left style="medium">
        <color indexed="64"/>
      </left>
      <right/>
      <top style="thin">
        <color rgb="FF999999"/>
      </top>
      <bottom style="medium">
        <color indexed="64"/>
      </bottom>
      <diagonal/>
    </border>
    <border>
      <left style="thin">
        <color rgb="FF999999"/>
      </left>
      <right/>
      <top style="thin">
        <color rgb="FF999999"/>
      </top>
      <bottom style="medium">
        <color indexed="64"/>
      </bottom>
      <diagonal/>
    </border>
    <border>
      <left/>
      <right style="medium">
        <color indexed="64"/>
      </right>
      <top style="thin">
        <color rgb="FF999999"/>
      </top>
      <bottom style="medium">
        <color indexed="64"/>
      </bottom>
      <diagonal/>
    </border>
    <border>
      <left/>
      <right/>
      <top style="thin">
        <color rgb="FF999999"/>
      </top>
      <bottom style="medium">
        <color indexed="64"/>
      </bottom>
      <diagonal/>
    </border>
  </borders>
  <cellStyleXfs count="1">
    <xf numFmtId="0" fontId="0" fillId="0" borderId="0"/>
  </cellStyleXfs>
  <cellXfs count="41">
    <xf numFmtId="0" fontId="0" fillId="0" borderId="0" xfId="0"/>
    <xf numFmtId="0" fontId="0" fillId="0" borderId="1" xfId="0" applyBorder="1"/>
    <xf numFmtId="0" fontId="1" fillId="0" borderId="0" xfId="0" applyFont="1"/>
    <xf numFmtId="0" fontId="2" fillId="2" borderId="0" xfId="0" applyFont="1" applyFill="1"/>
    <xf numFmtId="0" fontId="0" fillId="2" borderId="0" xfId="0" applyFill="1"/>
    <xf numFmtId="10" fontId="0" fillId="0" borderId="0" xfId="0" applyNumberFormat="1"/>
    <xf numFmtId="0" fontId="3" fillId="0" borderId="0" xfId="0" applyFont="1"/>
    <xf numFmtId="0" fontId="0" fillId="0" borderId="2" xfId="0" applyBorder="1"/>
    <xf numFmtId="0" fontId="0" fillId="0" borderId="0" xfId="0" pivotButton="1"/>
    <xf numFmtId="0" fontId="0" fillId="0" borderId="0" xfId="0" applyAlignment="1">
      <alignment horizontal="left"/>
    </xf>
    <xf numFmtId="164" fontId="0" fillId="0" borderId="0" xfId="0" applyNumberFormat="1"/>
    <xf numFmtId="0" fontId="0" fillId="0" borderId="7" xfId="0" applyBorder="1"/>
    <xf numFmtId="164" fontId="0" fillId="0" borderId="8" xfId="0" applyNumberFormat="1" applyBorder="1"/>
    <xf numFmtId="0" fontId="0" fillId="0" borderId="9" xfId="0" applyBorder="1"/>
    <xf numFmtId="0" fontId="0" fillId="0" borderId="10" xfId="0" applyBorder="1"/>
    <xf numFmtId="10" fontId="0" fillId="0" borderId="10" xfId="0" applyNumberFormat="1" applyBorder="1"/>
    <xf numFmtId="0" fontId="0" fillId="3" borderId="11" xfId="0" applyFill="1" applyBorder="1"/>
    <xf numFmtId="0" fontId="0" fillId="3" borderId="12" xfId="0" applyFill="1" applyBorder="1"/>
    <xf numFmtId="0" fontId="0" fillId="3" borderId="13" xfId="0" applyFill="1" applyBorder="1"/>
    <xf numFmtId="0" fontId="5" fillId="2" borderId="0" xfId="0" applyFont="1" applyFill="1"/>
    <xf numFmtId="164" fontId="0" fillId="0" borderId="2" xfId="0" applyNumberFormat="1" applyBorder="1"/>
    <xf numFmtId="164" fontId="0" fillId="0" borderId="3" xfId="0" applyNumberFormat="1" applyBorder="1"/>
    <xf numFmtId="0" fontId="0" fillId="0" borderId="3" xfId="0" applyBorder="1"/>
    <xf numFmtId="0" fontId="0" fillId="0" borderId="14" xfId="0" applyBorder="1"/>
    <xf numFmtId="0" fontId="0" fillId="0" borderId="15" xfId="0" applyBorder="1"/>
    <xf numFmtId="0" fontId="0" fillId="0" borderId="16" xfId="0" pivotButton="1" applyBorder="1"/>
    <xf numFmtId="0" fontId="0" fillId="0" borderId="17" xfId="0" applyBorder="1"/>
    <xf numFmtId="0" fontId="0" fillId="0" borderId="16" xfId="0" applyBorder="1" applyAlignment="1">
      <alignment horizontal="left"/>
    </xf>
    <xf numFmtId="10" fontId="0" fillId="0" borderId="17" xfId="0" applyNumberFormat="1" applyBorder="1"/>
    <xf numFmtId="0" fontId="0" fillId="0" borderId="18" xfId="0" applyBorder="1" applyAlignment="1">
      <alignment horizontal="left"/>
    </xf>
    <xf numFmtId="10" fontId="0" fillId="0" borderId="19" xfId="0" applyNumberFormat="1" applyBorder="1"/>
    <xf numFmtId="0" fontId="0" fillId="0" borderId="20" xfId="0" applyBorder="1" applyAlignment="1">
      <alignment horizontal="left"/>
    </xf>
    <xf numFmtId="164" fontId="0" fillId="0" borderId="21" xfId="0" applyNumberFormat="1" applyBorder="1"/>
    <xf numFmtId="10" fontId="0" fillId="0" borderId="22" xfId="0" applyNumberFormat="1" applyBorder="1"/>
    <xf numFmtId="0" fontId="0" fillId="0" borderId="21" xfId="0" applyBorder="1"/>
    <xf numFmtId="0" fontId="0" fillId="0" borderId="23" xfId="0" applyBorder="1"/>
    <xf numFmtId="0" fontId="4" fillId="3" borderId="4" xfId="0" applyFont="1" applyFill="1" applyBorder="1"/>
    <xf numFmtId="0" fontId="0" fillId="3" borderId="6" xfId="0" applyFill="1" applyBorder="1"/>
    <xf numFmtId="0" fontId="0" fillId="3" borderId="5" xfId="0" applyFill="1" applyBorder="1"/>
    <xf numFmtId="0" fontId="0" fillId="3" borderId="0" xfId="0" applyFill="1"/>
    <xf numFmtId="0" fontId="0" fillId="0" borderId="0" xfId="0" applyNumberFormat="1"/>
  </cellXfs>
  <cellStyles count="1">
    <cellStyle name="Normal" xfId="0" builtinId="0"/>
  </cellStyles>
  <dxfs count="31">
    <dxf>
      <numFmt numFmtId="14"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Actual Vs. Predicted Tip Amounts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v>Actual</c:v>
          </c:tx>
          <c:spPr>
            <a:ln w="28575" cap="rnd">
              <a:solidFill>
                <a:schemeClr val="bg2">
                  <a:lumMod val="75000"/>
                </a:schemeClr>
              </a:solidFill>
              <a:round/>
            </a:ln>
            <a:effectLst/>
          </c:spPr>
          <c:marker>
            <c:symbol val="none"/>
          </c:marker>
          <c:val>
            <c:numRef>
              <c:f>tips!$P$2:$P$245</c:f>
              <c:numCache>
                <c:formatCode>General</c:formatCode>
                <c:ptCount val="244"/>
                <c:pt idx="0">
                  <c:v>1</c:v>
                </c:pt>
                <c:pt idx="1">
                  <c:v>1</c:v>
                </c:pt>
                <c:pt idx="2">
                  <c:v>5.15</c:v>
                </c:pt>
                <c:pt idx="3">
                  <c:v>1</c:v>
                </c:pt>
                <c:pt idx="4">
                  <c:v>2</c:v>
                </c:pt>
                <c:pt idx="5">
                  <c:v>1.44</c:v>
                </c:pt>
                <c:pt idx="6">
                  <c:v>1.44</c:v>
                </c:pt>
                <c:pt idx="7">
                  <c:v>1.5</c:v>
                </c:pt>
                <c:pt idx="8">
                  <c:v>1.25</c:v>
                </c:pt>
                <c:pt idx="9">
                  <c:v>1.48</c:v>
                </c:pt>
                <c:pt idx="10">
                  <c:v>1.92</c:v>
                </c:pt>
                <c:pt idx="11">
                  <c:v>2</c:v>
                </c:pt>
                <c:pt idx="12">
                  <c:v>1.45</c:v>
                </c:pt>
                <c:pt idx="13">
                  <c:v>4</c:v>
                </c:pt>
                <c:pt idx="14">
                  <c:v>1.32</c:v>
                </c:pt>
                <c:pt idx="15">
                  <c:v>1.73</c:v>
                </c:pt>
                <c:pt idx="16">
                  <c:v>1.56</c:v>
                </c:pt>
                <c:pt idx="17">
                  <c:v>1.25</c:v>
                </c:pt>
                <c:pt idx="18">
                  <c:v>1.83</c:v>
                </c:pt>
                <c:pt idx="19">
                  <c:v>2</c:v>
                </c:pt>
                <c:pt idx="20">
                  <c:v>1.71</c:v>
                </c:pt>
                <c:pt idx="21">
                  <c:v>2.6</c:v>
                </c:pt>
                <c:pt idx="22">
                  <c:v>1.67</c:v>
                </c:pt>
                <c:pt idx="23">
                  <c:v>2</c:v>
                </c:pt>
                <c:pt idx="24">
                  <c:v>1.66</c:v>
                </c:pt>
                <c:pt idx="25">
                  <c:v>2</c:v>
                </c:pt>
                <c:pt idx="26">
                  <c:v>1.25</c:v>
                </c:pt>
                <c:pt idx="27">
                  <c:v>1.61</c:v>
                </c:pt>
                <c:pt idx="28">
                  <c:v>2</c:v>
                </c:pt>
                <c:pt idx="29">
                  <c:v>1.5</c:v>
                </c:pt>
                <c:pt idx="30">
                  <c:v>1.47</c:v>
                </c:pt>
                <c:pt idx="31">
                  <c:v>1.98</c:v>
                </c:pt>
                <c:pt idx="32">
                  <c:v>1.5</c:v>
                </c:pt>
                <c:pt idx="33">
                  <c:v>1.76</c:v>
                </c:pt>
                <c:pt idx="34">
                  <c:v>2.5</c:v>
                </c:pt>
                <c:pt idx="35">
                  <c:v>2</c:v>
                </c:pt>
                <c:pt idx="36">
                  <c:v>1.5</c:v>
                </c:pt>
                <c:pt idx="37">
                  <c:v>3.39</c:v>
                </c:pt>
                <c:pt idx="38">
                  <c:v>2.31</c:v>
                </c:pt>
                <c:pt idx="39">
                  <c:v>1.63</c:v>
                </c:pt>
                <c:pt idx="40">
                  <c:v>1.97</c:v>
                </c:pt>
                <c:pt idx="41">
                  <c:v>1.5</c:v>
                </c:pt>
                <c:pt idx="42">
                  <c:v>2.2000000000000002</c:v>
                </c:pt>
                <c:pt idx="43">
                  <c:v>2</c:v>
                </c:pt>
                <c:pt idx="44">
                  <c:v>1.8</c:v>
                </c:pt>
                <c:pt idx="45">
                  <c:v>1.5</c:v>
                </c:pt>
                <c:pt idx="46">
                  <c:v>2.52</c:v>
                </c:pt>
                <c:pt idx="47">
                  <c:v>2.5</c:v>
                </c:pt>
                <c:pt idx="48">
                  <c:v>1</c:v>
                </c:pt>
                <c:pt idx="49">
                  <c:v>2.5</c:v>
                </c:pt>
                <c:pt idx="50">
                  <c:v>2</c:v>
                </c:pt>
                <c:pt idx="51">
                  <c:v>2.0099999999999998</c:v>
                </c:pt>
                <c:pt idx="52">
                  <c:v>2.23</c:v>
                </c:pt>
                <c:pt idx="53">
                  <c:v>1.1000000000000001</c:v>
                </c:pt>
                <c:pt idx="54">
                  <c:v>2</c:v>
                </c:pt>
                <c:pt idx="55">
                  <c:v>2</c:v>
                </c:pt>
                <c:pt idx="56">
                  <c:v>2</c:v>
                </c:pt>
                <c:pt idx="57">
                  <c:v>2</c:v>
                </c:pt>
                <c:pt idx="58">
                  <c:v>2.75</c:v>
                </c:pt>
                <c:pt idx="59">
                  <c:v>2.5</c:v>
                </c:pt>
                <c:pt idx="60">
                  <c:v>2.72</c:v>
                </c:pt>
                <c:pt idx="61">
                  <c:v>2</c:v>
                </c:pt>
                <c:pt idx="62">
                  <c:v>2.61</c:v>
                </c:pt>
                <c:pt idx="63">
                  <c:v>3.48</c:v>
                </c:pt>
                <c:pt idx="64">
                  <c:v>1.58</c:v>
                </c:pt>
                <c:pt idx="65">
                  <c:v>1.68</c:v>
                </c:pt>
                <c:pt idx="66">
                  <c:v>2</c:v>
                </c:pt>
                <c:pt idx="67">
                  <c:v>2</c:v>
                </c:pt>
                <c:pt idx="68">
                  <c:v>2</c:v>
                </c:pt>
                <c:pt idx="69">
                  <c:v>3.06</c:v>
                </c:pt>
                <c:pt idx="70">
                  <c:v>3</c:v>
                </c:pt>
                <c:pt idx="71">
                  <c:v>2.5</c:v>
                </c:pt>
                <c:pt idx="72">
                  <c:v>2</c:v>
                </c:pt>
                <c:pt idx="73">
                  <c:v>2.5</c:v>
                </c:pt>
                <c:pt idx="74">
                  <c:v>4</c:v>
                </c:pt>
                <c:pt idx="75">
                  <c:v>2</c:v>
                </c:pt>
                <c:pt idx="76">
                  <c:v>2</c:v>
                </c:pt>
                <c:pt idx="77">
                  <c:v>2.2000000000000002</c:v>
                </c:pt>
                <c:pt idx="78">
                  <c:v>3.23</c:v>
                </c:pt>
                <c:pt idx="79">
                  <c:v>3.02</c:v>
                </c:pt>
                <c:pt idx="80">
                  <c:v>2.09</c:v>
                </c:pt>
                <c:pt idx="81">
                  <c:v>1.96</c:v>
                </c:pt>
                <c:pt idx="82">
                  <c:v>3</c:v>
                </c:pt>
                <c:pt idx="83">
                  <c:v>1.64</c:v>
                </c:pt>
                <c:pt idx="84">
                  <c:v>3</c:v>
                </c:pt>
                <c:pt idx="85">
                  <c:v>1.57</c:v>
                </c:pt>
                <c:pt idx="86">
                  <c:v>2.02</c:v>
                </c:pt>
                <c:pt idx="87">
                  <c:v>3</c:v>
                </c:pt>
                <c:pt idx="88">
                  <c:v>1.5</c:v>
                </c:pt>
                <c:pt idx="89">
                  <c:v>3</c:v>
                </c:pt>
                <c:pt idx="90">
                  <c:v>2.23</c:v>
                </c:pt>
                <c:pt idx="91">
                  <c:v>3.16</c:v>
                </c:pt>
                <c:pt idx="92">
                  <c:v>2</c:v>
                </c:pt>
                <c:pt idx="93">
                  <c:v>2.0299999999999998</c:v>
                </c:pt>
                <c:pt idx="94">
                  <c:v>3</c:v>
                </c:pt>
                <c:pt idx="95">
                  <c:v>2</c:v>
                </c:pt>
                <c:pt idx="96">
                  <c:v>2.2400000000000002</c:v>
                </c:pt>
                <c:pt idx="97">
                  <c:v>2</c:v>
                </c:pt>
                <c:pt idx="98">
                  <c:v>2.5</c:v>
                </c:pt>
                <c:pt idx="99">
                  <c:v>3.71</c:v>
                </c:pt>
                <c:pt idx="100">
                  <c:v>2</c:v>
                </c:pt>
                <c:pt idx="101">
                  <c:v>4.3</c:v>
                </c:pt>
                <c:pt idx="102">
                  <c:v>2.5</c:v>
                </c:pt>
                <c:pt idx="103">
                  <c:v>2.2999999999999998</c:v>
                </c:pt>
                <c:pt idx="104">
                  <c:v>2.4700000000000002</c:v>
                </c:pt>
                <c:pt idx="105">
                  <c:v>3.23</c:v>
                </c:pt>
                <c:pt idx="106">
                  <c:v>2</c:v>
                </c:pt>
                <c:pt idx="107">
                  <c:v>4</c:v>
                </c:pt>
                <c:pt idx="108">
                  <c:v>3.4</c:v>
                </c:pt>
                <c:pt idx="109">
                  <c:v>4</c:v>
                </c:pt>
                <c:pt idx="110">
                  <c:v>3.07</c:v>
                </c:pt>
                <c:pt idx="111">
                  <c:v>3.5</c:v>
                </c:pt>
                <c:pt idx="112">
                  <c:v>1.01</c:v>
                </c:pt>
                <c:pt idx="113">
                  <c:v>3</c:v>
                </c:pt>
                <c:pt idx="114">
                  <c:v>2.74</c:v>
                </c:pt>
                <c:pt idx="115">
                  <c:v>2.71</c:v>
                </c:pt>
                <c:pt idx="116">
                  <c:v>3.5</c:v>
                </c:pt>
                <c:pt idx="117">
                  <c:v>2.54</c:v>
                </c:pt>
                <c:pt idx="118">
                  <c:v>3.5</c:v>
                </c:pt>
                <c:pt idx="119">
                  <c:v>3</c:v>
                </c:pt>
                <c:pt idx="120">
                  <c:v>2.64</c:v>
                </c:pt>
                <c:pt idx="121">
                  <c:v>3.27</c:v>
                </c:pt>
                <c:pt idx="122">
                  <c:v>2.34</c:v>
                </c:pt>
                <c:pt idx="123">
                  <c:v>1.75</c:v>
                </c:pt>
                <c:pt idx="124">
                  <c:v>2</c:v>
                </c:pt>
                <c:pt idx="125">
                  <c:v>4.08</c:v>
                </c:pt>
                <c:pt idx="126">
                  <c:v>3.08</c:v>
                </c:pt>
                <c:pt idx="127">
                  <c:v>3</c:v>
                </c:pt>
                <c:pt idx="128">
                  <c:v>3.5</c:v>
                </c:pt>
                <c:pt idx="129">
                  <c:v>3.76</c:v>
                </c:pt>
                <c:pt idx="130">
                  <c:v>3.25</c:v>
                </c:pt>
                <c:pt idx="131">
                  <c:v>4</c:v>
                </c:pt>
                <c:pt idx="132">
                  <c:v>3</c:v>
                </c:pt>
                <c:pt idx="133">
                  <c:v>3.76</c:v>
                </c:pt>
                <c:pt idx="134">
                  <c:v>2.5</c:v>
                </c:pt>
                <c:pt idx="135">
                  <c:v>3</c:v>
                </c:pt>
                <c:pt idx="136">
                  <c:v>1.36</c:v>
                </c:pt>
                <c:pt idx="137">
                  <c:v>2.31</c:v>
                </c:pt>
                <c:pt idx="138">
                  <c:v>4</c:v>
                </c:pt>
                <c:pt idx="139">
                  <c:v>3</c:v>
                </c:pt>
                <c:pt idx="140">
                  <c:v>1.5</c:v>
                </c:pt>
                <c:pt idx="141">
                  <c:v>3</c:v>
                </c:pt>
                <c:pt idx="142">
                  <c:v>3.51</c:v>
                </c:pt>
                <c:pt idx="143">
                  <c:v>3</c:v>
                </c:pt>
                <c:pt idx="144">
                  <c:v>2</c:v>
                </c:pt>
                <c:pt idx="145">
                  <c:v>4.1900000000000004</c:v>
                </c:pt>
                <c:pt idx="146">
                  <c:v>3.18</c:v>
                </c:pt>
                <c:pt idx="147">
                  <c:v>3.15</c:v>
                </c:pt>
                <c:pt idx="148">
                  <c:v>2.0099999999999998</c:v>
                </c:pt>
                <c:pt idx="149">
                  <c:v>2.83</c:v>
                </c:pt>
                <c:pt idx="150">
                  <c:v>3.21</c:v>
                </c:pt>
                <c:pt idx="151">
                  <c:v>2.75</c:v>
                </c:pt>
                <c:pt idx="152">
                  <c:v>3</c:v>
                </c:pt>
                <c:pt idx="153">
                  <c:v>4.0599999999999996</c:v>
                </c:pt>
                <c:pt idx="154">
                  <c:v>4</c:v>
                </c:pt>
                <c:pt idx="155">
                  <c:v>3.35</c:v>
                </c:pt>
                <c:pt idx="156">
                  <c:v>2.4500000000000002</c:v>
                </c:pt>
                <c:pt idx="157">
                  <c:v>5</c:v>
                </c:pt>
                <c:pt idx="158">
                  <c:v>2.2400000000000002</c:v>
                </c:pt>
                <c:pt idx="159">
                  <c:v>3.5</c:v>
                </c:pt>
                <c:pt idx="160">
                  <c:v>4.08</c:v>
                </c:pt>
                <c:pt idx="161">
                  <c:v>3.5</c:v>
                </c:pt>
                <c:pt idx="162">
                  <c:v>3</c:v>
                </c:pt>
                <c:pt idx="163">
                  <c:v>3</c:v>
                </c:pt>
                <c:pt idx="164">
                  <c:v>3.5</c:v>
                </c:pt>
                <c:pt idx="165">
                  <c:v>3.92</c:v>
                </c:pt>
                <c:pt idx="166">
                  <c:v>4.3</c:v>
                </c:pt>
                <c:pt idx="167">
                  <c:v>2.88</c:v>
                </c:pt>
                <c:pt idx="168">
                  <c:v>5</c:v>
                </c:pt>
                <c:pt idx="169">
                  <c:v>3.48</c:v>
                </c:pt>
                <c:pt idx="170">
                  <c:v>3.5</c:v>
                </c:pt>
                <c:pt idx="171">
                  <c:v>2</c:v>
                </c:pt>
                <c:pt idx="172">
                  <c:v>3.25</c:v>
                </c:pt>
                <c:pt idx="173">
                  <c:v>3</c:v>
                </c:pt>
                <c:pt idx="174">
                  <c:v>2.1800000000000002</c:v>
                </c:pt>
                <c:pt idx="175">
                  <c:v>4</c:v>
                </c:pt>
                <c:pt idx="176">
                  <c:v>6.5</c:v>
                </c:pt>
                <c:pt idx="177">
                  <c:v>5.65</c:v>
                </c:pt>
                <c:pt idx="178">
                  <c:v>3.31</c:v>
                </c:pt>
                <c:pt idx="179">
                  <c:v>2.5499999999999998</c:v>
                </c:pt>
                <c:pt idx="180">
                  <c:v>2</c:v>
                </c:pt>
                <c:pt idx="181">
                  <c:v>3.6</c:v>
                </c:pt>
                <c:pt idx="182">
                  <c:v>2.92</c:v>
                </c:pt>
                <c:pt idx="183">
                  <c:v>2.0299999999999998</c:v>
                </c:pt>
                <c:pt idx="184">
                  <c:v>3.48</c:v>
                </c:pt>
                <c:pt idx="185">
                  <c:v>2</c:v>
                </c:pt>
                <c:pt idx="186">
                  <c:v>3.61</c:v>
                </c:pt>
                <c:pt idx="187">
                  <c:v>5.85</c:v>
                </c:pt>
                <c:pt idx="188">
                  <c:v>3.75</c:v>
                </c:pt>
                <c:pt idx="189">
                  <c:v>4.29</c:v>
                </c:pt>
                <c:pt idx="190">
                  <c:v>5</c:v>
                </c:pt>
                <c:pt idx="191">
                  <c:v>4.71</c:v>
                </c:pt>
                <c:pt idx="192">
                  <c:v>4.34</c:v>
                </c:pt>
                <c:pt idx="193">
                  <c:v>4</c:v>
                </c:pt>
                <c:pt idx="194">
                  <c:v>5.16</c:v>
                </c:pt>
                <c:pt idx="195">
                  <c:v>1.5</c:v>
                </c:pt>
                <c:pt idx="196">
                  <c:v>3.41</c:v>
                </c:pt>
                <c:pt idx="197">
                  <c:v>3.14</c:v>
                </c:pt>
                <c:pt idx="198">
                  <c:v>3.12</c:v>
                </c:pt>
                <c:pt idx="199">
                  <c:v>5</c:v>
                </c:pt>
                <c:pt idx="200">
                  <c:v>2</c:v>
                </c:pt>
                <c:pt idx="201">
                  <c:v>4</c:v>
                </c:pt>
                <c:pt idx="202">
                  <c:v>4</c:v>
                </c:pt>
                <c:pt idx="203">
                  <c:v>3</c:v>
                </c:pt>
                <c:pt idx="204">
                  <c:v>6.5</c:v>
                </c:pt>
                <c:pt idx="205">
                  <c:v>2.56</c:v>
                </c:pt>
                <c:pt idx="206">
                  <c:v>2.0499999999999998</c:v>
                </c:pt>
                <c:pt idx="207">
                  <c:v>3</c:v>
                </c:pt>
                <c:pt idx="208">
                  <c:v>5.92</c:v>
                </c:pt>
                <c:pt idx="209">
                  <c:v>4.2</c:v>
                </c:pt>
                <c:pt idx="210">
                  <c:v>5.14</c:v>
                </c:pt>
                <c:pt idx="211">
                  <c:v>5.07</c:v>
                </c:pt>
                <c:pt idx="212">
                  <c:v>2</c:v>
                </c:pt>
                <c:pt idx="213">
                  <c:v>3.09</c:v>
                </c:pt>
                <c:pt idx="214">
                  <c:v>5.6</c:v>
                </c:pt>
                <c:pt idx="215">
                  <c:v>2</c:v>
                </c:pt>
                <c:pt idx="216">
                  <c:v>5</c:v>
                </c:pt>
                <c:pt idx="217">
                  <c:v>4.5</c:v>
                </c:pt>
                <c:pt idx="218">
                  <c:v>3.18</c:v>
                </c:pt>
                <c:pt idx="219">
                  <c:v>6</c:v>
                </c:pt>
                <c:pt idx="220">
                  <c:v>5</c:v>
                </c:pt>
                <c:pt idx="221">
                  <c:v>1.17</c:v>
                </c:pt>
                <c:pt idx="222">
                  <c:v>3.11</c:v>
                </c:pt>
                <c:pt idx="223">
                  <c:v>6.7</c:v>
                </c:pt>
                <c:pt idx="224">
                  <c:v>3.55</c:v>
                </c:pt>
                <c:pt idx="225">
                  <c:v>3.68</c:v>
                </c:pt>
                <c:pt idx="226">
                  <c:v>5.2</c:v>
                </c:pt>
                <c:pt idx="227">
                  <c:v>5.17</c:v>
                </c:pt>
                <c:pt idx="228">
                  <c:v>5</c:v>
                </c:pt>
                <c:pt idx="229">
                  <c:v>4.67</c:v>
                </c:pt>
                <c:pt idx="230">
                  <c:v>3</c:v>
                </c:pt>
                <c:pt idx="231">
                  <c:v>4</c:v>
                </c:pt>
                <c:pt idx="232">
                  <c:v>3</c:v>
                </c:pt>
                <c:pt idx="233">
                  <c:v>7.58</c:v>
                </c:pt>
                <c:pt idx="234">
                  <c:v>4.7300000000000004</c:v>
                </c:pt>
                <c:pt idx="235">
                  <c:v>3</c:v>
                </c:pt>
                <c:pt idx="236">
                  <c:v>5</c:v>
                </c:pt>
                <c:pt idx="237">
                  <c:v>5</c:v>
                </c:pt>
                <c:pt idx="238">
                  <c:v>2.5</c:v>
                </c:pt>
                <c:pt idx="239">
                  <c:v>3.5</c:v>
                </c:pt>
                <c:pt idx="240">
                  <c:v>5</c:v>
                </c:pt>
                <c:pt idx="241">
                  <c:v>6.73</c:v>
                </c:pt>
                <c:pt idx="242">
                  <c:v>9</c:v>
                </c:pt>
                <c:pt idx="243">
                  <c:v>10</c:v>
                </c:pt>
              </c:numCache>
            </c:numRef>
          </c:val>
          <c:smooth val="0"/>
          <c:extLst>
            <c:ext xmlns:c16="http://schemas.microsoft.com/office/drawing/2014/chart" uri="{C3380CC4-5D6E-409C-BE32-E72D297353CC}">
              <c16:uniqueId val="{00000000-B27B-5D4F-8F2C-E6C022FBAA37}"/>
            </c:ext>
          </c:extLst>
        </c:ser>
        <c:ser>
          <c:idx val="3"/>
          <c:order val="1"/>
          <c:tx>
            <c:v>Predicted Average by Amount</c:v>
          </c:tx>
          <c:spPr>
            <a:ln w="28575" cap="rnd">
              <a:solidFill>
                <a:schemeClr val="accent1">
                  <a:lumMod val="75000"/>
                </a:schemeClr>
              </a:solidFill>
              <a:round/>
            </a:ln>
            <a:effectLst/>
          </c:spPr>
          <c:marker>
            <c:symbol val="none"/>
          </c:marker>
          <c:val>
            <c:numRef>
              <c:f>tips!$S$2:$S$245</c:f>
              <c:numCache>
                <c:formatCode>"$"#,##0.00</c:formatCode>
                <c:ptCount val="244"/>
                <c:pt idx="0">
                  <c:v>2.6750863712205479</c:v>
                </c:pt>
                <c:pt idx="1">
                  <c:v>2.6717152966638293</c:v>
                </c:pt>
                <c:pt idx="2">
                  <c:v>2.8523745884479665</c:v>
                </c:pt>
                <c:pt idx="3">
                  <c:v>2.9552818213886538</c:v>
                </c:pt>
                <c:pt idx="4">
                  <c:v>2.9530824612596698</c:v>
                </c:pt>
                <c:pt idx="5">
                  <c:v>2.9040479096820868</c:v>
                </c:pt>
                <c:pt idx="6">
                  <c:v>2.9552818213886538</c:v>
                </c:pt>
                <c:pt idx="7">
                  <c:v>2.9519107468319357</c:v>
                </c:pt>
                <c:pt idx="8">
                  <c:v>2.7814300242005734</c:v>
                </c:pt>
                <c:pt idx="9">
                  <c:v>2.9519107468319357</c:v>
                </c:pt>
                <c:pt idx="10">
                  <c:v>3.0043163729662368</c:v>
                </c:pt>
                <c:pt idx="11">
                  <c:v>2.9436000646864029</c:v>
                </c:pt>
                <c:pt idx="12">
                  <c:v>2.8326639359071408</c:v>
                </c:pt>
                <c:pt idx="13">
                  <c:v>2.9552818213886538</c:v>
                </c:pt>
                <c:pt idx="14">
                  <c:v>2.9519107468319357</c:v>
                </c:pt>
                <c:pt idx="15">
                  <c:v>2.9519107468319357</c:v>
                </c:pt>
                <c:pt idx="16">
                  <c:v>2.8326639359071408</c:v>
                </c:pt>
                <c:pt idx="17">
                  <c:v>2.9006768351253682</c:v>
                </c:pt>
                <c:pt idx="18">
                  <c:v>2.903608500154534</c:v>
                </c:pt>
                <c:pt idx="19">
                  <c:v>2.9002374255978154</c:v>
                </c:pt>
                <c:pt idx="20">
                  <c:v>2.7814300242005734</c:v>
                </c:pt>
                <c:pt idx="21">
                  <c:v>2.8326639359071408</c:v>
                </c:pt>
                <c:pt idx="22">
                  <c:v>2.7814300242005734</c:v>
                </c:pt>
                <c:pt idx="23">
                  <c:v>2.7814300242005734</c:v>
                </c:pt>
                <c:pt idx="24">
                  <c:v>3.0076874475229554</c:v>
                </c:pt>
                <c:pt idx="25">
                  <c:v>2.9552818213886538</c:v>
                </c:pt>
                <c:pt idx="26">
                  <c:v>3.0043163729662368</c:v>
                </c:pt>
                <c:pt idx="27">
                  <c:v>3.0043163729662368</c:v>
                </c:pt>
                <c:pt idx="28">
                  <c:v>2.8286920563042663</c:v>
                </c:pt>
                <c:pt idx="29">
                  <c:v>2.9040479096820868</c:v>
                </c:pt>
                <c:pt idx="30">
                  <c:v>2.7814300242005734</c:v>
                </c:pt>
                <c:pt idx="31">
                  <c:v>2.9552818213886538</c:v>
                </c:pt>
                <c:pt idx="32">
                  <c:v>3.1664864134520667</c:v>
                </c:pt>
                <c:pt idx="33">
                  <c:v>3.1152525017454993</c:v>
                </c:pt>
                <c:pt idx="34">
                  <c:v>2.7814300242005734</c:v>
                </c:pt>
                <c:pt idx="35">
                  <c:v>3.0043163729662368</c:v>
                </c:pt>
                <c:pt idx="36">
                  <c:v>2.8326639359071408</c:v>
                </c:pt>
                <c:pt idx="37">
                  <c:v>2.9519107468319357</c:v>
                </c:pt>
                <c:pt idx="38">
                  <c:v>2.9552818213886538</c:v>
                </c:pt>
                <c:pt idx="39">
                  <c:v>2.7814300242005734</c:v>
                </c:pt>
                <c:pt idx="40">
                  <c:v>2.552468485739035</c:v>
                </c:pt>
                <c:pt idx="41">
                  <c:v>2.5997305178427279</c:v>
                </c:pt>
                <c:pt idx="42">
                  <c:v>3.0043163729662368</c:v>
                </c:pt>
                <c:pt idx="43">
                  <c:v>2.9519107468319357</c:v>
                </c:pt>
                <c:pt idx="44">
                  <c:v>2.9552818213886538</c:v>
                </c:pt>
                <c:pt idx="45">
                  <c:v>3.0043163729662368</c:v>
                </c:pt>
                <c:pt idx="46">
                  <c:v>2.9519107468319357</c:v>
                </c:pt>
                <c:pt idx="47">
                  <c:v>2.9519107468319357</c:v>
                </c:pt>
                <c:pt idx="48">
                  <c:v>2.9552818213886538</c:v>
                </c:pt>
                <c:pt idx="49">
                  <c:v>2.8326639359071408</c:v>
                </c:pt>
                <c:pt idx="50">
                  <c:v>2.8326639359071408</c:v>
                </c:pt>
                <c:pt idx="51">
                  <c:v>2.7814300242005734</c:v>
                </c:pt>
                <c:pt idx="52">
                  <c:v>2.7814300242005734</c:v>
                </c:pt>
                <c:pt idx="53">
                  <c:v>2.7814300242005734</c:v>
                </c:pt>
                <c:pt idx="54">
                  <c:v>2.7814300242005734</c:v>
                </c:pt>
                <c:pt idx="55">
                  <c:v>2.7814300242005734</c:v>
                </c:pt>
                <c:pt idx="56">
                  <c:v>2.836035010463859</c:v>
                </c:pt>
                <c:pt idx="57">
                  <c:v>2.8326639359071408</c:v>
                </c:pt>
                <c:pt idx="58">
                  <c:v>3.0043163729662368</c:v>
                </c:pt>
                <c:pt idx="59">
                  <c:v>3.0043163729662368</c:v>
                </c:pt>
                <c:pt idx="60">
                  <c:v>2.9040479096820868</c:v>
                </c:pt>
                <c:pt idx="61">
                  <c:v>3.0076874475229554</c:v>
                </c:pt>
                <c:pt idx="62">
                  <c:v>3.0076874475229554</c:v>
                </c:pt>
                <c:pt idx="63">
                  <c:v>2.836035010463859</c:v>
                </c:pt>
                <c:pt idx="64">
                  <c:v>2.784801098757292</c:v>
                </c:pt>
                <c:pt idx="65">
                  <c:v>2.836035010463859</c:v>
                </c:pt>
                <c:pt idx="66">
                  <c:v>2.784801098757292</c:v>
                </c:pt>
                <c:pt idx="67">
                  <c:v>2.7774581445976994</c:v>
                </c:pt>
                <c:pt idx="68">
                  <c:v>2.9040479096820868</c:v>
                </c:pt>
                <c:pt idx="69">
                  <c:v>2.9552818213886538</c:v>
                </c:pt>
                <c:pt idx="70">
                  <c:v>3.1140807873177652</c:v>
                </c:pt>
                <c:pt idx="71">
                  <c:v>3.1152525017454993</c:v>
                </c:pt>
                <c:pt idx="72">
                  <c:v>3.1174518618744838</c:v>
                </c:pt>
                <c:pt idx="73">
                  <c:v>3.3149359155857794</c:v>
                </c:pt>
                <c:pt idx="74">
                  <c:v>3.3149359155857794</c:v>
                </c:pt>
                <c:pt idx="75">
                  <c:v>3.3149359155857794</c:v>
                </c:pt>
                <c:pt idx="76">
                  <c:v>3.2659013640081964</c:v>
                </c:pt>
                <c:pt idx="77">
                  <c:v>3.2968259090614169</c:v>
                </c:pt>
                <c:pt idx="78">
                  <c:v>2.9519107468319357</c:v>
                </c:pt>
                <c:pt idx="79">
                  <c:v>2.784801098757292</c:v>
                </c:pt>
                <c:pt idx="80">
                  <c:v>2.836035010463859</c:v>
                </c:pt>
                <c:pt idx="81">
                  <c:v>2.8326639359071408</c:v>
                </c:pt>
                <c:pt idx="82">
                  <c:v>2.9552818213886538</c:v>
                </c:pt>
                <c:pt idx="83">
                  <c:v>3.1664864134520667</c:v>
                </c:pt>
                <c:pt idx="84">
                  <c:v>2.9552818213886538</c:v>
                </c:pt>
                <c:pt idx="85">
                  <c:v>2.9948339763929708</c:v>
                </c:pt>
                <c:pt idx="86">
                  <c:v>2.9006768351253682</c:v>
                </c:pt>
                <c:pt idx="87">
                  <c:v>2.8286920563042663</c:v>
                </c:pt>
                <c:pt idx="88">
                  <c:v>2.9006768351253682</c:v>
                </c:pt>
                <c:pt idx="89">
                  <c:v>2.9040479096820868</c:v>
                </c:pt>
                <c:pt idx="90">
                  <c:v>3.0043163729662368</c:v>
                </c:pt>
                <c:pt idx="91">
                  <c:v>3.1140807873177652</c:v>
                </c:pt>
                <c:pt idx="92">
                  <c:v>2.7814300242005734</c:v>
                </c:pt>
                <c:pt idx="93">
                  <c:v>2.8326639359071408</c:v>
                </c:pt>
                <c:pt idx="94">
                  <c:v>3.1140807873177652</c:v>
                </c:pt>
                <c:pt idx="95">
                  <c:v>3.2625302894514783</c:v>
                </c:pt>
                <c:pt idx="96">
                  <c:v>3.2112963777449104</c:v>
                </c:pt>
                <c:pt idx="97">
                  <c:v>2.9006768351253682</c:v>
                </c:pt>
                <c:pt idx="98">
                  <c:v>3.0043163729662368</c:v>
                </c:pt>
                <c:pt idx="99">
                  <c:v>2.8523745884479665</c:v>
                </c:pt>
                <c:pt idx="100">
                  <c:v>2.8326639359071408</c:v>
                </c:pt>
                <c:pt idx="101">
                  <c:v>3.0043163729662368</c:v>
                </c:pt>
                <c:pt idx="102">
                  <c:v>3.0043163729662368</c:v>
                </c:pt>
                <c:pt idx="103">
                  <c:v>2.784801098757292</c:v>
                </c:pt>
                <c:pt idx="104">
                  <c:v>2.9040479096820868</c:v>
                </c:pt>
                <c:pt idx="105">
                  <c:v>2.7774581445976994</c:v>
                </c:pt>
                <c:pt idx="106">
                  <c:v>3.0662179501679163</c:v>
                </c:pt>
                <c:pt idx="107">
                  <c:v>3.2625302894514783</c:v>
                </c:pt>
                <c:pt idx="108">
                  <c:v>2.7814300242005734</c:v>
                </c:pt>
                <c:pt idx="109">
                  <c:v>3.0043163729662368</c:v>
                </c:pt>
                <c:pt idx="110">
                  <c:v>3.0043163729662368</c:v>
                </c:pt>
                <c:pt idx="111">
                  <c:v>2.836035010463859</c:v>
                </c:pt>
                <c:pt idx="112">
                  <c:v>2.9530824612596698</c:v>
                </c:pt>
                <c:pt idx="113">
                  <c:v>2.9530824612596698</c:v>
                </c:pt>
                <c:pt idx="114">
                  <c:v>3.1140807873177652</c:v>
                </c:pt>
                <c:pt idx="115">
                  <c:v>2.8326639359071408</c:v>
                </c:pt>
                <c:pt idx="116">
                  <c:v>2.9519107468319357</c:v>
                </c:pt>
                <c:pt idx="117">
                  <c:v>3.1664864134520667</c:v>
                </c:pt>
                <c:pt idx="118">
                  <c:v>2.9006768351253682</c:v>
                </c:pt>
                <c:pt idx="119">
                  <c:v>2.7814300242005734</c:v>
                </c:pt>
                <c:pt idx="120">
                  <c:v>2.7814300242005734</c:v>
                </c:pt>
                <c:pt idx="121">
                  <c:v>2.9040479096820868</c:v>
                </c:pt>
                <c:pt idx="122">
                  <c:v>3.0920495668201156</c:v>
                </c:pt>
                <c:pt idx="123">
                  <c:v>2.9006768351253682</c:v>
                </c:pt>
                <c:pt idx="124">
                  <c:v>2.9006768351253682</c:v>
                </c:pt>
                <c:pt idx="125">
                  <c:v>3.0043163729662368</c:v>
                </c:pt>
                <c:pt idx="126">
                  <c:v>3.0043163729662368</c:v>
                </c:pt>
                <c:pt idx="127">
                  <c:v>2.8326639359071408</c:v>
                </c:pt>
                <c:pt idx="128">
                  <c:v>2.836035010463859</c:v>
                </c:pt>
                <c:pt idx="129">
                  <c:v>2.8326639359071408</c:v>
                </c:pt>
                <c:pt idx="130">
                  <c:v>2.903608500154534</c:v>
                </c:pt>
                <c:pt idx="131">
                  <c:v>2.903608500154534</c:v>
                </c:pt>
                <c:pt idx="132">
                  <c:v>2.8523745884479665</c:v>
                </c:pt>
                <c:pt idx="133">
                  <c:v>2.9519107468319357</c:v>
                </c:pt>
                <c:pt idx="134">
                  <c:v>2.9564535358163879</c:v>
                </c:pt>
                <c:pt idx="135">
                  <c:v>3.0076874475229554</c:v>
                </c:pt>
                <c:pt idx="136">
                  <c:v>2.9552818213886538</c:v>
                </c:pt>
                <c:pt idx="137">
                  <c:v>2.856346468050841</c:v>
                </c:pt>
                <c:pt idx="138">
                  <c:v>3.0628468756111977</c:v>
                </c:pt>
                <c:pt idx="139">
                  <c:v>2.9362571105268107</c:v>
                </c:pt>
                <c:pt idx="140">
                  <c:v>3.1174518618744838</c:v>
                </c:pt>
                <c:pt idx="141">
                  <c:v>3.3149359155857794</c:v>
                </c:pt>
                <c:pt idx="142">
                  <c:v>3.2659013640081964</c:v>
                </c:pt>
                <c:pt idx="143">
                  <c:v>3.2659013640081964</c:v>
                </c:pt>
                <c:pt idx="144">
                  <c:v>3.2625302894514783</c:v>
                </c:pt>
                <c:pt idx="145">
                  <c:v>3.2444202829271154</c:v>
                </c:pt>
                <c:pt idx="146">
                  <c:v>2.9530824612596698</c:v>
                </c:pt>
                <c:pt idx="147">
                  <c:v>3.0043163729662368</c:v>
                </c:pt>
                <c:pt idx="148">
                  <c:v>3.0628468756111977</c:v>
                </c:pt>
                <c:pt idx="149">
                  <c:v>2.9552818213886538</c:v>
                </c:pt>
                <c:pt idx="150">
                  <c:v>3.2146674523016285</c:v>
                </c:pt>
                <c:pt idx="151">
                  <c:v>3.0076874475229554</c:v>
                </c:pt>
                <c:pt idx="152">
                  <c:v>3.3149359155857794</c:v>
                </c:pt>
                <c:pt idx="153">
                  <c:v>2.9040479096820868</c:v>
                </c:pt>
                <c:pt idx="154">
                  <c:v>3.1140807873177652</c:v>
                </c:pt>
                <c:pt idx="155">
                  <c:v>2.9552818213886538</c:v>
                </c:pt>
                <c:pt idx="156">
                  <c:v>2.9519107468319357</c:v>
                </c:pt>
                <c:pt idx="157">
                  <c:v>3.0076874475229554</c:v>
                </c:pt>
                <c:pt idx="158">
                  <c:v>2.9552818213886538</c:v>
                </c:pt>
                <c:pt idx="159">
                  <c:v>3.0043163729662368</c:v>
                </c:pt>
                <c:pt idx="160">
                  <c:v>2.9469711392431215</c:v>
                </c:pt>
                <c:pt idx="161">
                  <c:v>2.8490035138912484</c:v>
                </c:pt>
                <c:pt idx="162">
                  <c:v>2.7814300242005734</c:v>
                </c:pt>
                <c:pt idx="163">
                  <c:v>2.9519107468319357</c:v>
                </c:pt>
                <c:pt idx="164">
                  <c:v>3.0043163729662368</c:v>
                </c:pt>
                <c:pt idx="165">
                  <c:v>3.1140807873177652</c:v>
                </c:pt>
                <c:pt idx="166">
                  <c:v>2.9519107468319357</c:v>
                </c:pt>
                <c:pt idx="167">
                  <c:v>2.8326639359071408</c:v>
                </c:pt>
                <c:pt idx="168">
                  <c:v>3.1174518618744838</c:v>
                </c:pt>
                <c:pt idx="169">
                  <c:v>2.9040479096820868</c:v>
                </c:pt>
                <c:pt idx="170">
                  <c:v>2.7774581445976994</c:v>
                </c:pt>
                <c:pt idx="171">
                  <c:v>3.1664864134520667</c:v>
                </c:pt>
                <c:pt idx="172">
                  <c:v>2.9002374255978154</c:v>
                </c:pt>
                <c:pt idx="173">
                  <c:v>2.9530824612596698</c:v>
                </c:pt>
                <c:pt idx="174">
                  <c:v>2.7814300242005734</c:v>
                </c:pt>
                <c:pt idx="175">
                  <c:v>3.1664864134520667</c:v>
                </c:pt>
                <c:pt idx="176">
                  <c:v>3.1152525017454993</c:v>
                </c:pt>
                <c:pt idx="177">
                  <c:v>3.1698574880087849</c:v>
                </c:pt>
                <c:pt idx="178">
                  <c:v>3.1186235763022179</c:v>
                </c:pt>
                <c:pt idx="179">
                  <c:v>3.1186235763022179</c:v>
                </c:pt>
                <c:pt idx="180">
                  <c:v>3.3149359155857794</c:v>
                </c:pt>
                <c:pt idx="181">
                  <c:v>3.0043163729662368</c:v>
                </c:pt>
                <c:pt idx="182">
                  <c:v>3.0076874475229554</c:v>
                </c:pt>
                <c:pt idx="183">
                  <c:v>3.1140807873177652</c:v>
                </c:pt>
                <c:pt idx="184">
                  <c:v>3.2637020038792115</c:v>
                </c:pt>
                <c:pt idx="185">
                  <c:v>3.318306990142498</c:v>
                </c:pt>
                <c:pt idx="186">
                  <c:v>3.1664864134520667</c:v>
                </c:pt>
                <c:pt idx="187">
                  <c:v>3.2637020038792115</c:v>
                </c:pt>
                <c:pt idx="188">
                  <c:v>2.9519107468319357</c:v>
                </c:pt>
                <c:pt idx="189">
                  <c:v>3.2659013640081964</c:v>
                </c:pt>
                <c:pt idx="190">
                  <c:v>3.0043163729662368</c:v>
                </c:pt>
                <c:pt idx="191">
                  <c:v>2.8326639359071408</c:v>
                </c:pt>
                <c:pt idx="192">
                  <c:v>2.903608500154534</c:v>
                </c:pt>
                <c:pt idx="193">
                  <c:v>2.9040479096820868</c:v>
                </c:pt>
                <c:pt idx="194">
                  <c:v>3.0076874475229554</c:v>
                </c:pt>
                <c:pt idx="195">
                  <c:v>2.9564535358163879</c:v>
                </c:pt>
                <c:pt idx="196">
                  <c:v>2.836035010463859</c:v>
                </c:pt>
                <c:pt idx="197">
                  <c:v>3.1664864134520667</c:v>
                </c:pt>
                <c:pt idx="198">
                  <c:v>3.1152525017454993</c:v>
                </c:pt>
                <c:pt idx="199">
                  <c:v>3.1698574880087849</c:v>
                </c:pt>
                <c:pt idx="200">
                  <c:v>2.9982050509496889</c:v>
                </c:pt>
                <c:pt idx="201">
                  <c:v>3.1432834785266834</c:v>
                </c:pt>
                <c:pt idx="202">
                  <c:v>3.146654553083402</c:v>
                </c:pt>
                <c:pt idx="203">
                  <c:v>2.9552818213886538</c:v>
                </c:pt>
                <c:pt idx="204">
                  <c:v>2.9519107468319357</c:v>
                </c:pt>
                <c:pt idx="205">
                  <c:v>2.9006768351253682</c:v>
                </c:pt>
                <c:pt idx="206">
                  <c:v>2.784801098757292</c:v>
                </c:pt>
                <c:pt idx="207">
                  <c:v>3.3099684857390343</c:v>
                </c:pt>
                <c:pt idx="208">
                  <c:v>2.9552818213886538</c:v>
                </c:pt>
                <c:pt idx="209">
                  <c:v>2.9519107468319357</c:v>
                </c:pt>
                <c:pt idx="210">
                  <c:v>2.8523745884479665</c:v>
                </c:pt>
                <c:pt idx="211">
                  <c:v>3.3149359155857794</c:v>
                </c:pt>
                <c:pt idx="212">
                  <c:v>3.3149359155857794</c:v>
                </c:pt>
                <c:pt idx="213">
                  <c:v>3.0628468756111977</c:v>
                </c:pt>
                <c:pt idx="214">
                  <c:v>3.3149359155857794</c:v>
                </c:pt>
                <c:pt idx="215">
                  <c:v>3.2142280427740766</c:v>
                </c:pt>
                <c:pt idx="216">
                  <c:v>3.0043163729662368</c:v>
                </c:pt>
                <c:pt idx="217">
                  <c:v>2.9040479096820868</c:v>
                </c:pt>
                <c:pt idx="218">
                  <c:v>2.836035010463859</c:v>
                </c:pt>
                <c:pt idx="219">
                  <c:v>3.1140807873177652</c:v>
                </c:pt>
                <c:pt idx="220">
                  <c:v>3.2637020038792115</c:v>
                </c:pt>
                <c:pt idx="221">
                  <c:v>3.0954206413768341</c:v>
                </c:pt>
                <c:pt idx="222">
                  <c:v>3.1218023974456024</c:v>
                </c:pt>
                <c:pt idx="223">
                  <c:v>3.2934548345046983</c:v>
                </c:pt>
                <c:pt idx="224">
                  <c:v>3.3099684857390343</c:v>
                </c:pt>
                <c:pt idx="225">
                  <c:v>3.5328548345046982</c:v>
                </c:pt>
                <c:pt idx="226">
                  <c:v>3.3149359155857794</c:v>
                </c:pt>
                <c:pt idx="227">
                  <c:v>3.2422209227981313</c:v>
                </c:pt>
                <c:pt idx="228">
                  <c:v>3.0076874475229554</c:v>
                </c:pt>
                <c:pt idx="229">
                  <c:v>3.2659013640081964</c:v>
                </c:pt>
                <c:pt idx="230">
                  <c:v>3.0920495668201156</c:v>
                </c:pt>
                <c:pt idx="231">
                  <c:v>3.2637020038792115</c:v>
                </c:pt>
                <c:pt idx="232">
                  <c:v>3.3149359155857794</c:v>
                </c:pt>
                <c:pt idx="233">
                  <c:v>3.0076874475229554</c:v>
                </c:pt>
                <c:pt idx="234">
                  <c:v>2.8326639359071408</c:v>
                </c:pt>
                <c:pt idx="235">
                  <c:v>3.1140807873177652</c:v>
                </c:pt>
                <c:pt idx="236">
                  <c:v>3.3149359155857794</c:v>
                </c:pt>
                <c:pt idx="237">
                  <c:v>3.0662179501679163</c:v>
                </c:pt>
                <c:pt idx="238">
                  <c:v>3.318306990142498</c:v>
                </c:pt>
                <c:pt idx="239">
                  <c:v>3.3612023974456022</c:v>
                </c:pt>
                <c:pt idx="240">
                  <c:v>3.2625302894514783</c:v>
                </c:pt>
                <c:pt idx="241">
                  <c:v>3.2625302894514783</c:v>
                </c:pt>
                <c:pt idx="242">
                  <c:v>3.2625302894514783</c:v>
                </c:pt>
                <c:pt idx="243">
                  <c:v>3.1174518618744838</c:v>
                </c:pt>
              </c:numCache>
            </c:numRef>
          </c:val>
          <c:smooth val="0"/>
          <c:extLst>
            <c:ext xmlns:c16="http://schemas.microsoft.com/office/drawing/2014/chart" uri="{C3380CC4-5D6E-409C-BE32-E72D297353CC}">
              <c16:uniqueId val="{00000003-B27B-5D4F-8F2C-E6C022FBAA37}"/>
            </c:ext>
          </c:extLst>
        </c:ser>
        <c:ser>
          <c:idx val="4"/>
          <c:order val="2"/>
          <c:tx>
            <c:v>Predicted Average by Percent</c:v>
          </c:tx>
          <c:spPr>
            <a:ln w="28575" cap="rnd">
              <a:solidFill>
                <a:srgbClr val="FF0000"/>
              </a:solidFill>
              <a:round/>
            </a:ln>
            <a:effectLst/>
          </c:spPr>
          <c:marker>
            <c:symbol val="none"/>
          </c:marker>
          <c:val>
            <c:numRef>
              <c:f>tips!$T$2:$T$245</c:f>
              <c:numCache>
                <c:formatCode>"$"#,##0.00</c:formatCode>
                <c:ptCount val="244"/>
                <c:pt idx="0">
                  <c:v>0.52782405719507075</c:v>
                </c:pt>
                <c:pt idx="1">
                  <c:v>0.92483907972210311</c:v>
                </c:pt>
                <c:pt idx="2">
                  <c:v>1.1960133458101374</c:v>
                </c:pt>
                <c:pt idx="3">
                  <c:v>1.2336717628292133</c:v>
                </c:pt>
                <c:pt idx="4">
                  <c:v>1.2285661049915693</c:v>
                </c:pt>
                <c:pt idx="5">
                  <c:v>1.2218101225366989</c:v>
                </c:pt>
                <c:pt idx="6">
                  <c:v>1.2372162266654307</c:v>
                </c:pt>
                <c:pt idx="7">
                  <c:v>1.3282640691634484</c:v>
                </c:pt>
                <c:pt idx="8">
                  <c:v>1.3904352029373501</c:v>
                </c:pt>
                <c:pt idx="9">
                  <c:v>1.3553065711703689</c:v>
                </c:pt>
                <c:pt idx="10">
                  <c:v>1.4769373472597223</c:v>
                </c:pt>
                <c:pt idx="11">
                  <c:v>1.4329161844607003</c:v>
                </c:pt>
                <c:pt idx="12">
                  <c:v>1.5434743674207132</c:v>
                </c:pt>
                <c:pt idx="13">
                  <c:v>1.5345317540036347</c:v>
                </c:pt>
                <c:pt idx="14">
                  <c:v>1.5398318789822971</c:v>
                </c:pt>
                <c:pt idx="15">
                  <c:v>1.555739233104015</c:v>
                </c:pt>
                <c:pt idx="16">
                  <c:v>1.6065063049384176</c:v>
                </c:pt>
                <c:pt idx="17">
                  <c:v>1.6196747013567963</c:v>
                </c:pt>
                <c:pt idx="18">
                  <c:v>1.7472848212284036</c:v>
                </c:pt>
                <c:pt idx="19">
                  <c:v>1.6388763591949647</c:v>
                </c:pt>
                <c:pt idx="20">
                  <c:v>1.6779987701723367</c:v>
                </c:pt>
                <c:pt idx="21">
                  <c:v>1.6630734283517421</c:v>
                </c:pt>
                <c:pt idx="22">
                  <c:v>1.6597822853635318</c:v>
                </c:pt>
                <c:pt idx="23">
                  <c:v>1.6878020736008021</c:v>
                </c:pt>
                <c:pt idx="24">
                  <c:v>1.6531975024810375</c:v>
                </c:pt>
                <c:pt idx="25">
                  <c:v>1.6528185767080816</c:v>
                </c:pt>
                <c:pt idx="26">
                  <c:v>1.7007561062555312</c:v>
                </c:pt>
                <c:pt idx="27">
                  <c:v>1.7137019186723192</c:v>
                </c:pt>
                <c:pt idx="28">
                  <c:v>1.7446099298182471</c:v>
                </c:pt>
                <c:pt idx="29">
                  <c:v>1.7212007678592387</c:v>
                </c:pt>
                <c:pt idx="30">
                  <c:v>1.7596929654095488</c:v>
                </c:pt>
                <c:pt idx="31">
                  <c:v>1.7615145759500057</c:v>
                </c:pt>
                <c:pt idx="32">
                  <c:v>1.8075590586940327</c:v>
                </c:pt>
                <c:pt idx="33">
                  <c:v>1.8387593901604844</c:v>
                </c:pt>
                <c:pt idx="34">
                  <c:v>1.8544582318847147</c:v>
                </c:pt>
                <c:pt idx="35">
                  <c:v>1.8415418162881014</c:v>
                </c:pt>
                <c:pt idx="36">
                  <c:v>1.8731798867440905</c:v>
                </c:pt>
                <c:pt idx="37">
                  <c:v>1.8468438135314533</c:v>
                </c:pt>
                <c:pt idx="38">
                  <c:v>1.8686121046148427</c:v>
                </c:pt>
                <c:pt idx="39">
                  <c:v>1.9394201949314154</c:v>
                </c:pt>
                <c:pt idx="40">
                  <c:v>1.9639284535025789</c:v>
                </c:pt>
                <c:pt idx="41">
                  <c:v>1.9743798170944036</c:v>
                </c:pt>
                <c:pt idx="42">
                  <c:v>1.9677634873517849</c:v>
                </c:pt>
                <c:pt idx="43">
                  <c:v>1.9502416153226201</c:v>
                </c:pt>
                <c:pt idx="44">
                  <c:v>1.9868989273192896</c:v>
                </c:pt>
                <c:pt idx="45">
                  <c:v>2.0163102839147404</c:v>
                </c:pt>
                <c:pt idx="46">
                  <c:v>1.9852377943903996</c:v>
                </c:pt>
                <c:pt idx="47">
                  <c:v>1.9947822068634302</c:v>
                </c:pt>
                <c:pt idx="48">
                  <c:v>2.0140729271297708</c:v>
                </c:pt>
                <c:pt idx="49">
                  <c:v>2.0461136640362541</c:v>
                </c:pt>
                <c:pt idx="50">
                  <c:v>2.0509622746145393</c:v>
                </c:pt>
                <c:pt idx="51">
                  <c:v>2.0815680946441644</c:v>
                </c:pt>
                <c:pt idx="52">
                  <c:v>2.0848358624536529</c:v>
                </c:pt>
                <c:pt idx="53">
                  <c:v>2.1077102371200724</c:v>
                </c:pt>
                <c:pt idx="54">
                  <c:v>2.1240490761675148</c:v>
                </c:pt>
                <c:pt idx="55">
                  <c:v>2.1240490761675148</c:v>
                </c:pt>
                <c:pt idx="56">
                  <c:v>2.1159921143864375</c:v>
                </c:pt>
                <c:pt idx="57">
                  <c:v>2.1220752297627188</c:v>
                </c:pt>
                <c:pt idx="58">
                  <c:v>2.1295861425616356</c:v>
                </c:pt>
                <c:pt idx="59">
                  <c:v>2.147386634634719</c:v>
                </c:pt>
                <c:pt idx="60">
                  <c:v>2.1462484692179049</c:v>
                </c:pt>
                <c:pt idx="61">
                  <c:v>2.1739108156474938</c:v>
                </c:pt>
                <c:pt idx="62">
                  <c:v>2.1771627390815218</c:v>
                </c:pt>
                <c:pt idx="63">
                  <c:v>2.1793257233358401</c:v>
                </c:pt>
                <c:pt idx="64">
                  <c:v>2.2030527914831395</c:v>
                </c:pt>
                <c:pt idx="65">
                  <c:v>2.1793257233358401</c:v>
                </c:pt>
                <c:pt idx="66">
                  <c:v>2.2178273631100756</c:v>
                </c:pt>
                <c:pt idx="67">
                  <c:v>2.2909324195458516</c:v>
                </c:pt>
                <c:pt idx="68">
                  <c:v>2.231904469871933</c:v>
                </c:pt>
                <c:pt idx="69">
                  <c:v>2.2282679844594449</c:v>
                </c:pt>
                <c:pt idx="70">
                  <c:v>2.2270295770405122</c:v>
                </c:pt>
                <c:pt idx="71">
                  <c:v>2.3017210515621009</c:v>
                </c:pt>
                <c:pt idx="72">
                  <c:v>2.2618358665782745</c:v>
                </c:pt>
                <c:pt idx="73">
                  <c:v>2.3075910632924712</c:v>
                </c:pt>
                <c:pt idx="74">
                  <c:v>2.3156821960529639</c:v>
                </c:pt>
                <c:pt idx="75">
                  <c:v>2.3431920474386385</c:v>
                </c:pt>
                <c:pt idx="76">
                  <c:v>2.3209792779304976</c:v>
                </c:pt>
                <c:pt idx="77">
                  <c:v>2.3950416091613751</c:v>
                </c:pt>
                <c:pt idx="78">
                  <c:v>2.3511069391899122</c:v>
                </c:pt>
                <c:pt idx="79">
                  <c:v>2.4345210803051383</c:v>
                </c:pt>
                <c:pt idx="80">
                  <c:v>2.4375319752064795</c:v>
                </c:pt>
                <c:pt idx="81">
                  <c:v>2.4307701032468612</c:v>
                </c:pt>
                <c:pt idx="82">
                  <c:v>2.4072966890932022</c:v>
                </c:pt>
                <c:pt idx="83">
                  <c:v>2.4855959840233073</c:v>
                </c:pt>
                <c:pt idx="84">
                  <c:v>2.45844774755999</c:v>
                </c:pt>
                <c:pt idx="85">
                  <c:v>2.4921858372384706</c:v>
                </c:pt>
                <c:pt idx="86">
                  <c:v>2.4898276441909837</c:v>
                </c:pt>
                <c:pt idx="87">
                  <c:v>2.5488045352847957</c:v>
                </c:pt>
                <c:pt idx="88">
                  <c:v>2.5236043757982256</c:v>
                </c:pt>
                <c:pt idx="89">
                  <c:v>2.4931822360515556</c:v>
                </c:pt>
                <c:pt idx="90">
                  <c:v>2.5519432726593458</c:v>
                </c:pt>
                <c:pt idx="91">
                  <c:v>2.5149526866436074</c:v>
                </c:pt>
                <c:pt idx="92">
                  <c:v>2.6060448280670663</c:v>
                </c:pt>
                <c:pt idx="93">
                  <c:v>2.5826932346997902</c:v>
                </c:pt>
                <c:pt idx="94">
                  <c:v>2.4986499596058453</c:v>
                </c:pt>
                <c:pt idx="95">
                  <c:v>2.5451766594748713</c:v>
                </c:pt>
                <c:pt idx="96">
                  <c:v>2.5363909513883067</c:v>
                </c:pt>
                <c:pt idx="97">
                  <c:v>2.5632729003743426</c:v>
                </c:pt>
                <c:pt idx="98">
                  <c:v>2.6328546002642712</c:v>
                </c:pt>
                <c:pt idx="99">
                  <c:v>2.6431321685783051</c:v>
                </c:pt>
                <c:pt idx="100">
                  <c:v>2.5917876077743927</c:v>
                </c:pt>
                <c:pt idx="101">
                  <c:v>2.6409457330247639</c:v>
                </c:pt>
                <c:pt idx="102">
                  <c:v>2.6538915454415517</c:v>
                </c:pt>
                <c:pt idx="103">
                  <c:v>2.6971801314506689</c:v>
                </c:pt>
                <c:pt idx="104">
                  <c:v>2.6585683221863357</c:v>
                </c:pt>
                <c:pt idx="105">
                  <c:v>2.6875238480207924</c:v>
                </c:pt>
                <c:pt idx="106">
                  <c:v>2.5998308547536224</c:v>
                </c:pt>
                <c:pt idx="107">
                  <c:v>2.6374393133808351</c:v>
                </c:pt>
                <c:pt idx="108">
                  <c:v>2.7220505853039074</c:v>
                </c:pt>
                <c:pt idx="109">
                  <c:v>2.7218570606296892</c:v>
                </c:pt>
                <c:pt idx="110">
                  <c:v>2.6937354796285251</c:v>
                </c:pt>
                <c:pt idx="111">
                  <c:v>2.7097933868742716</c:v>
                </c:pt>
                <c:pt idx="112">
                  <c:v>2.7794058753404474</c:v>
                </c:pt>
                <c:pt idx="113">
                  <c:v>2.7461913122762458</c:v>
                </c:pt>
                <c:pt idx="114">
                  <c:v>2.6987921340924212</c:v>
                </c:pt>
                <c:pt idx="115">
                  <c:v>2.7944158966182333</c:v>
                </c:pt>
                <c:pt idx="116">
                  <c:v>2.7535629984693761</c:v>
                </c:pt>
                <c:pt idx="117">
                  <c:v>2.8254235599639941</c:v>
                </c:pt>
                <c:pt idx="118">
                  <c:v>2.8099023865643722</c:v>
                </c:pt>
                <c:pt idx="119">
                  <c:v>2.8609307172071681</c:v>
                </c:pt>
                <c:pt idx="120">
                  <c:v>2.8262894868871755</c:v>
                </c:pt>
                <c:pt idx="121">
                  <c:v>2.8735163992992736</c:v>
                </c:pt>
                <c:pt idx="122">
                  <c:v>2.8395258341637284</c:v>
                </c:pt>
                <c:pt idx="123">
                  <c:v>2.866196939243109</c:v>
                </c:pt>
                <c:pt idx="124">
                  <c:v>2.8774558497788565</c:v>
                </c:pt>
                <c:pt idx="125">
                  <c:v>2.8998619813605253</c:v>
                </c:pt>
                <c:pt idx="126">
                  <c:v>2.8998619813605253</c:v>
                </c:pt>
                <c:pt idx="127">
                  <c:v>2.9156311610753574</c:v>
                </c:pt>
                <c:pt idx="128">
                  <c:v>2.8982174408820289</c:v>
                </c:pt>
                <c:pt idx="129">
                  <c:v>2.9479552315972568</c:v>
                </c:pt>
                <c:pt idx="130">
                  <c:v>2.9800195864475807</c:v>
                </c:pt>
                <c:pt idx="131">
                  <c:v>2.9832835728511378</c:v>
                </c:pt>
                <c:pt idx="132">
                  <c:v>3.0172529786024014</c:v>
                </c:pt>
                <c:pt idx="133">
                  <c:v>2.8371357308836798</c:v>
                </c:pt>
                <c:pt idx="134">
                  <c:v>2.943526665339137</c:v>
                </c:pt>
                <c:pt idx="135">
                  <c:v>2.9237745412884037</c:v>
                </c:pt>
                <c:pt idx="136">
                  <c:v>2.9289887633629266</c:v>
                </c:pt>
                <c:pt idx="137">
                  <c:v>2.9858003012569103</c:v>
                </c:pt>
                <c:pt idx="138">
                  <c:v>2.9585956795807498</c:v>
                </c:pt>
                <c:pt idx="139">
                  <c:v>3.1008760278539067</c:v>
                </c:pt>
                <c:pt idx="140">
                  <c:v>3.0498818610822238</c:v>
                </c:pt>
                <c:pt idx="141">
                  <c:v>3.1458324172794985</c:v>
                </c:pt>
                <c:pt idx="142">
                  <c:v>3.1154191547427961</c:v>
                </c:pt>
                <c:pt idx="143">
                  <c:v>3.14099468397619</c:v>
                </c:pt>
                <c:pt idx="144">
                  <c:v>3.0667125970240758</c:v>
                </c:pt>
                <c:pt idx="145">
                  <c:v>3.1665702132095839</c:v>
                </c:pt>
                <c:pt idx="146">
                  <c:v>3.2423675367420643</c:v>
                </c:pt>
                <c:pt idx="147">
                  <c:v>3.1949325712309973</c:v>
                </c:pt>
                <c:pt idx="148">
                  <c:v>3.2538251448309818</c:v>
                </c:pt>
                <c:pt idx="149">
                  <c:v>3.2400998597555914</c:v>
                </c:pt>
                <c:pt idx="150">
                  <c:v>3.2791702891891035</c:v>
                </c:pt>
                <c:pt idx="151">
                  <c:v>3.2990763238210659</c:v>
                </c:pt>
                <c:pt idx="152">
                  <c:v>3.2284132409954669</c:v>
                </c:pt>
                <c:pt idx="153">
                  <c:v>3.3114933083038305</c:v>
                </c:pt>
                <c:pt idx="154">
                  <c:v>3.1846034201772526</c:v>
                </c:pt>
                <c:pt idx="155">
                  <c:v>3.2448292898843576</c:v>
                </c:pt>
                <c:pt idx="156">
                  <c:v>3.2094225408410795</c:v>
                </c:pt>
                <c:pt idx="157">
                  <c:v>3.2638771132804751</c:v>
                </c:pt>
                <c:pt idx="158">
                  <c:v>3.3184249180328607</c:v>
                </c:pt>
                <c:pt idx="159">
                  <c:v>3.3254029252354504</c:v>
                </c:pt>
                <c:pt idx="160">
                  <c:v>3.434267093727815</c:v>
                </c:pt>
                <c:pt idx="161">
                  <c:v>3.3927236709272788</c:v>
                </c:pt>
                <c:pt idx="162">
                  <c:v>3.4327900838676531</c:v>
                </c:pt>
                <c:pt idx="163">
                  <c:v>3.3659961321555172</c:v>
                </c:pt>
                <c:pt idx="164">
                  <c:v>3.3941752900441338</c:v>
                </c:pt>
                <c:pt idx="165">
                  <c:v>3.4328070194667322</c:v>
                </c:pt>
                <c:pt idx="166">
                  <c:v>3.4518958444127938</c:v>
                </c:pt>
                <c:pt idx="167">
                  <c:v>3.5750421997221125</c:v>
                </c:pt>
                <c:pt idx="168">
                  <c:v>3.553400092864667</c:v>
                </c:pt>
                <c:pt idx="169">
                  <c:v>3.6234104427609513</c:v>
                </c:pt>
                <c:pt idx="170">
                  <c:v>3.7308522893255756</c:v>
                </c:pt>
                <c:pt idx="171">
                  <c:v>3.6685195936073165</c:v>
                </c:pt>
                <c:pt idx="172">
                  <c:v>3.6951870338637707</c:v>
                </c:pt>
                <c:pt idx="173">
                  <c:v>3.7233241743819065</c:v>
                </c:pt>
                <c:pt idx="174">
                  <c:v>3.6666245645688087</c:v>
                </c:pt>
                <c:pt idx="175">
                  <c:v>3.6754453384181298</c:v>
                </c:pt>
                <c:pt idx="176">
                  <c:v>3.6987813196709078</c:v>
                </c:pt>
                <c:pt idx="177">
                  <c:v>3.7933686857932707</c:v>
                </c:pt>
                <c:pt idx="178">
                  <c:v>3.8921444825301901</c:v>
                </c:pt>
                <c:pt idx="179">
                  <c:v>3.9365228191130934</c:v>
                </c:pt>
                <c:pt idx="180">
                  <c:v>3.7904255215795191</c:v>
                </c:pt>
                <c:pt idx="181">
                  <c:v>3.8281911187160258</c:v>
                </c:pt>
                <c:pt idx="182">
                  <c:v>3.8201026019655324</c:v>
                </c:pt>
                <c:pt idx="183">
                  <c:v>3.8607148453409454</c:v>
                </c:pt>
                <c:pt idx="184">
                  <c:v>3.9447340935567397</c:v>
                </c:pt>
                <c:pt idx="185">
                  <c:v>3.8946644052430992</c:v>
                </c:pt>
                <c:pt idx="186">
                  <c:v>3.8819893201016393</c:v>
                </c:pt>
                <c:pt idx="187">
                  <c:v>4.0423260258777196</c:v>
                </c:pt>
                <c:pt idx="188">
                  <c:v>3.8779876037229086</c:v>
                </c:pt>
                <c:pt idx="189">
                  <c:v>4.0297443248366287</c:v>
                </c:pt>
                <c:pt idx="190">
                  <c:v>4.0908767237050263</c:v>
                </c:pt>
                <c:pt idx="191">
                  <c:v>3.9873811200378486</c:v>
                </c:pt>
                <c:pt idx="192">
                  <c:v>4.0703094362810948</c:v>
                </c:pt>
                <c:pt idx="193">
                  <c:v>4.0853865703559915</c:v>
                </c:pt>
                <c:pt idx="194">
                  <c:v>4.1072448656514799</c:v>
                </c:pt>
                <c:pt idx="195">
                  <c:v>4.3408587746462128</c:v>
                </c:pt>
                <c:pt idx="196">
                  <c:v>4.245928471242598</c:v>
                </c:pt>
                <c:pt idx="197">
                  <c:v>4.3465565189365902</c:v>
                </c:pt>
                <c:pt idx="198">
                  <c:v>4.2910333134550704</c:v>
                </c:pt>
                <c:pt idx="199">
                  <c:v>4.3468855931337282</c:v>
                </c:pt>
                <c:pt idx="200">
                  <c:v>4.4138653621660309</c:v>
                </c:pt>
                <c:pt idx="201">
                  <c:v>4.2885237827216089</c:v>
                </c:pt>
                <c:pt idx="202">
                  <c:v>4.4301047490761336</c:v>
                </c:pt>
                <c:pt idx="203">
                  <c:v>4.3633152317706507</c:v>
                </c:pt>
                <c:pt idx="204">
                  <c:v>4.4046914494428444</c:v>
                </c:pt>
                <c:pt idx="205">
                  <c:v>4.5743345090950633</c:v>
                </c:pt>
                <c:pt idx="206">
                  <c:v>4.6093814996211373</c:v>
                </c:pt>
                <c:pt idx="207">
                  <c:v>4.7333616720440697</c:v>
                </c:pt>
                <c:pt idx="208">
                  <c:v>4.5616171566752017</c:v>
                </c:pt>
                <c:pt idx="209">
                  <c:v>4.6838311818252594</c:v>
                </c:pt>
                <c:pt idx="210">
                  <c:v>4.7796601361389612</c:v>
                </c:pt>
                <c:pt idx="211">
                  <c:v>4.7250077409777171</c:v>
                </c:pt>
                <c:pt idx="212">
                  <c:v>4.7828522455778772</c:v>
                </c:pt>
                <c:pt idx="213">
                  <c:v>4.7285905162971904</c:v>
                </c:pt>
                <c:pt idx="214">
                  <c:v>4.7992059915042633</c:v>
                </c:pt>
                <c:pt idx="215">
                  <c:v>4.8234804995252505</c:v>
                </c:pt>
                <c:pt idx="216">
                  <c:v>4.9753755728283515</c:v>
                </c:pt>
                <c:pt idx="217">
                  <c:v>4.9994321652054197</c:v>
                </c:pt>
                <c:pt idx="218">
                  <c:v>5.1722447308678472</c:v>
                </c:pt>
                <c:pt idx="219">
                  <c:v>5.025871934424889</c:v>
                </c:pt>
                <c:pt idx="220">
                  <c:v>5.3461438496836857</c:v>
                </c:pt>
                <c:pt idx="221">
                  <c:v>5.3894354056923595</c:v>
                </c:pt>
                <c:pt idx="222">
                  <c:v>5.3173096008525089</c:v>
                </c:pt>
                <c:pt idx="223">
                  <c:v>5.4854157353381003</c:v>
                </c:pt>
                <c:pt idx="224">
                  <c:v>5.6581399621293107</c:v>
                </c:pt>
                <c:pt idx="225">
                  <c:v>5.4701476186060107</c:v>
                </c:pt>
                <c:pt idx="226">
                  <c:v>5.4954065975086657</c:v>
                </c:pt>
                <c:pt idx="227">
                  <c:v>5.5601447287068497</c:v>
                </c:pt>
                <c:pt idx="228">
                  <c:v>5.5937216671638152</c:v>
                </c:pt>
                <c:pt idx="229">
                  <c:v>5.6301323707775559</c:v>
                </c:pt>
                <c:pt idx="230">
                  <c:v>6.060099772968182</c:v>
                </c:pt>
                <c:pt idx="231">
                  <c:v>6.1246340514561615</c:v>
                </c:pt>
                <c:pt idx="232">
                  <c:v>6.1142515806236881</c:v>
                </c:pt>
                <c:pt idx="233">
                  <c:v>6.2536729472375958</c:v>
                </c:pt>
                <c:pt idx="234">
                  <c:v>6.3334558952914346</c:v>
                </c:pt>
                <c:pt idx="235">
                  <c:v>6.4504320963566268</c:v>
                </c:pt>
                <c:pt idx="236">
                  <c:v>6.4659203103306311</c:v>
                </c:pt>
                <c:pt idx="237">
                  <c:v>6.7967682321666869</c:v>
                </c:pt>
                <c:pt idx="238">
                  <c:v>7.0828481005715629</c:v>
                </c:pt>
                <c:pt idx="239">
                  <c:v>7.206472594271534</c:v>
                </c:pt>
                <c:pt idx="240">
                  <c:v>7.5711459069974074</c:v>
                </c:pt>
                <c:pt idx="241">
                  <c:v>7.4876184652681923</c:v>
                </c:pt>
                <c:pt idx="242">
                  <c:v>7.496925635517127</c:v>
                </c:pt>
                <c:pt idx="243">
                  <c:v>7.9840085336089217</c:v>
                </c:pt>
              </c:numCache>
            </c:numRef>
          </c:val>
          <c:smooth val="0"/>
          <c:extLst>
            <c:ext xmlns:c16="http://schemas.microsoft.com/office/drawing/2014/chart" uri="{C3380CC4-5D6E-409C-BE32-E72D297353CC}">
              <c16:uniqueId val="{00000004-B27B-5D4F-8F2C-E6C022FBAA37}"/>
            </c:ext>
          </c:extLst>
        </c:ser>
        <c:ser>
          <c:idx val="1"/>
          <c:order val="3"/>
          <c:tx>
            <c:v>Average of Both</c:v>
          </c:tx>
          <c:spPr>
            <a:ln w="28575" cap="rnd">
              <a:solidFill>
                <a:schemeClr val="accent2"/>
              </a:solidFill>
              <a:round/>
            </a:ln>
            <a:effectLst/>
          </c:spPr>
          <c:marker>
            <c:symbol val="none"/>
          </c:marker>
          <c:val>
            <c:numRef>
              <c:f>tips!$U$2:$U$245</c:f>
              <c:numCache>
                <c:formatCode>"$"#,##0.00</c:formatCode>
                <c:ptCount val="244"/>
                <c:pt idx="0">
                  <c:v>1.6014552142078093</c:v>
                </c:pt>
                <c:pt idx="1">
                  <c:v>1.7982771881929662</c:v>
                </c:pt>
                <c:pt idx="2">
                  <c:v>2.0241939671290519</c:v>
                </c:pt>
                <c:pt idx="3">
                  <c:v>2.0944767921089333</c:v>
                </c:pt>
                <c:pt idx="4">
                  <c:v>2.0908242831256194</c:v>
                </c:pt>
                <c:pt idx="5">
                  <c:v>2.0629290161093929</c:v>
                </c:pt>
                <c:pt idx="6">
                  <c:v>2.0962490240270424</c:v>
                </c:pt>
                <c:pt idx="7">
                  <c:v>2.1400874079976919</c:v>
                </c:pt>
                <c:pt idx="8">
                  <c:v>2.0859326135689615</c:v>
                </c:pt>
                <c:pt idx="9">
                  <c:v>2.1536086590011525</c:v>
                </c:pt>
                <c:pt idx="10">
                  <c:v>2.2406268601129797</c:v>
                </c:pt>
                <c:pt idx="11">
                  <c:v>2.1882581245735517</c:v>
                </c:pt>
                <c:pt idx="12">
                  <c:v>2.1880691516639272</c:v>
                </c:pt>
                <c:pt idx="13">
                  <c:v>2.2449067876961442</c:v>
                </c:pt>
                <c:pt idx="14">
                  <c:v>2.2458713129071164</c:v>
                </c:pt>
                <c:pt idx="15">
                  <c:v>2.2538249899679754</c:v>
                </c:pt>
                <c:pt idx="16">
                  <c:v>2.2195851204227792</c:v>
                </c:pt>
                <c:pt idx="17">
                  <c:v>2.2601757682410821</c:v>
                </c:pt>
                <c:pt idx="18">
                  <c:v>2.325446660691469</c:v>
                </c:pt>
                <c:pt idx="19">
                  <c:v>2.2695568923963902</c:v>
                </c:pt>
                <c:pt idx="20">
                  <c:v>2.2297143971864548</c:v>
                </c:pt>
                <c:pt idx="21">
                  <c:v>2.2478686821294414</c:v>
                </c:pt>
                <c:pt idx="22">
                  <c:v>2.2206061547820526</c:v>
                </c:pt>
                <c:pt idx="23">
                  <c:v>2.2346160489006879</c:v>
                </c:pt>
                <c:pt idx="24">
                  <c:v>2.3304424750019965</c:v>
                </c:pt>
                <c:pt idx="25">
                  <c:v>2.3040501990483677</c:v>
                </c:pt>
                <c:pt idx="26">
                  <c:v>2.3525362396108838</c:v>
                </c:pt>
                <c:pt idx="27">
                  <c:v>2.3590091458192779</c:v>
                </c:pt>
                <c:pt idx="28">
                  <c:v>2.2866509930612566</c:v>
                </c:pt>
                <c:pt idx="29">
                  <c:v>2.3126243387706626</c:v>
                </c:pt>
                <c:pt idx="30">
                  <c:v>2.2705614948050612</c:v>
                </c:pt>
                <c:pt idx="31">
                  <c:v>2.3583981986693296</c:v>
                </c:pt>
                <c:pt idx="32">
                  <c:v>2.4870227360730497</c:v>
                </c:pt>
                <c:pt idx="33">
                  <c:v>2.4770059459529916</c:v>
                </c:pt>
                <c:pt idx="34">
                  <c:v>2.3179441280426438</c:v>
                </c:pt>
                <c:pt idx="35">
                  <c:v>2.4229290946271691</c:v>
                </c:pt>
                <c:pt idx="36">
                  <c:v>2.3529219113256157</c:v>
                </c:pt>
                <c:pt idx="37">
                  <c:v>2.3993772801816946</c:v>
                </c:pt>
                <c:pt idx="38">
                  <c:v>2.411946963001748</c:v>
                </c:pt>
                <c:pt idx="39">
                  <c:v>2.3604251095659943</c:v>
                </c:pt>
                <c:pt idx="40">
                  <c:v>2.2581984696208068</c:v>
                </c:pt>
                <c:pt idx="41">
                  <c:v>2.2870551674685657</c:v>
                </c:pt>
                <c:pt idx="42">
                  <c:v>2.486039930159011</c:v>
                </c:pt>
                <c:pt idx="43">
                  <c:v>2.4510761810772781</c:v>
                </c:pt>
                <c:pt idx="44">
                  <c:v>2.4710903743539716</c:v>
                </c:pt>
                <c:pt idx="45">
                  <c:v>2.5103133284404886</c:v>
                </c:pt>
                <c:pt idx="46">
                  <c:v>2.4685742706111675</c:v>
                </c:pt>
                <c:pt idx="47">
                  <c:v>2.4733464768476829</c:v>
                </c:pt>
                <c:pt idx="48">
                  <c:v>2.4846773742592125</c:v>
                </c:pt>
                <c:pt idx="49">
                  <c:v>2.4393887999716974</c:v>
                </c:pt>
                <c:pt idx="50">
                  <c:v>2.4418131052608398</c:v>
                </c:pt>
                <c:pt idx="51">
                  <c:v>2.4314990594223689</c:v>
                </c:pt>
                <c:pt idx="52">
                  <c:v>2.4331329433271129</c:v>
                </c:pt>
                <c:pt idx="53">
                  <c:v>2.4445701306603231</c:v>
                </c:pt>
                <c:pt idx="54">
                  <c:v>2.4527395501840443</c:v>
                </c:pt>
                <c:pt idx="55">
                  <c:v>2.4527395501840443</c:v>
                </c:pt>
                <c:pt idx="56">
                  <c:v>2.4760135624251483</c:v>
                </c:pt>
                <c:pt idx="57">
                  <c:v>2.47736958283493</c:v>
                </c:pt>
                <c:pt idx="58">
                  <c:v>2.566951257763936</c:v>
                </c:pt>
                <c:pt idx="59">
                  <c:v>2.5758515038004779</c:v>
                </c:pt>
                <c:pt idx="60">
                  <c:v>2.5251481894499959</c:v>
                </c:pt>
                <c:pt idx="61">
                  <c:v>2.5907991315852246</c:v>
                </c:pt>
                <c:pt idx="62">
                  <c:v>2.5924250933022384</c:v>
                </c:pt>
                <c:pt idx="63">
                  <c:v>2.5076803668998497</c:v>
                </c:pt>
                <c:pt idx="64">
                  <c:v>2.493926945120216</c:v>
                </c:pt>
                <c:pt idx="65">
                  <c:v>2.5076803668998497</c:v>
                </c:pt>
                <c:pt idx="66">
                  <c:v>2.5013142309336835</c:v>
                </c:pt>
                <c:pt idx="67">
                  <c:v>2.5341952820717752</c:v>
                </c:pt>
                <c:pt idx="68">
                  <c:v>2.5679761897770099</c:v>
                </c:pt>
                <c:pt idx="69">
                  <c:v>2.5917749029240493</c:v>
                </c:pt>
                <c:pt idx="70">
                  <c:v>2.6705551821791387</c:v>
                </c:pt>
                <c:pt idx="71">
                  <c:v>2.7084867766538001</c:v>
                </c:pt>
                <c:pt idx="72">
                  <c:v>2.6896438642263791</c:v>
                </c:pt>
                <c:pt idx="73">
                  <c:v>2.8112634894391251</c:v>
                </c:pt>
                <c:pt idx="74">
                  <c:v>2.8153090558193714</c:v>
                </c:pt>
                <c:pt idx="75">
                  <c:v>2.8290639815122089</c:v>
                </c:pt>
                <c:pt idx="76">
                  <c:v>2.793440320969347</c:v>
                </c:pt>
                <c:pt idx="77">
                  <c:v>2.845933759111396</c:v>
                </c:pt>
                <c:pt idx="78">
                  <c:v>2.6515088430109239</c:v>
                </c:pt>
                <c:pt idx="79">
                  <c:v>2.6096610895312153</c:v>
                </c:pt>
                <c:pt idx="80">
                  <c:v>2.6367834928351694</c:v>
                </c:pt>
                <c:pt idx="81">
                  <c:v>2.631717019577001</c:v>
                </c:pt>
                <c:pt idx="82">
                  <c:v>2.681289255240928</c:v>
                </c:pt>
                <c:pt idx="83">
                  <c:v>2.8260411987376868</c:v>
                </c:pt>
                <c:pt idx="84">
                  <c:v>2.7068647844743219</c:v>
                </c:pt>
                <c:pt idx="85">
                  <c:v>2.7435099068157207</c:v>
                </c:pt>
                <c:pt idx="86">
                  <c:v>2.695252239658176</c:v>
                </c:pt>
                <c:pt idx="87">
                  <c:v>2.688748295794531</c:v>
                </c:pt>
                <c:pt idx="88">
                  <c:v>2.7121406054617969</c:v>
                </c:pt>
                <c:pt idx="89">
                  <c:v>2.6986150728668212</c:v>
                </c:pt>
                <c:pt idx="90">
                  <c:v>2.7781298228127911</c:v>
                </c:pt>
                <c:pt idx="91">
                  <c:v>2.8145167369806865</c:v>
                </c:pt>
                <c:pt idx="92">
                  <c:v>2.6937374261338198</c:v>
                </c:pt>
                <c:pt idx="93">
                  <c:v>2.7076785853034657</c:v>
                </c:pt>
                <c:pt idx="94">
                  <c:v>2.806365373461805</c:v>
                </c:pt>
                <c:pt idx="95">
                  <c:v>2.9038534744631748</c:v>
                </c:pt>
                <c:pt idx="96">
                  <c:v>2.8738436645666088</c:v>
                </c:pt>
                <c:pt idx="97">
                  <c:v>2.7319748677498552</c:v>
                </c:pt>
                <c:pt idx="98">
                  <c:v>2.818585486615254</c:v>
                </c:pt>
                <c:pt idx="99">
                  <c:v>2.7477533785131358</c:v>
                </c:pt>
                <c:pt idx="100">
                  <c:v>2.7122257718407665</c:v>
                </c:pt>
                <c:pt idx="101">
                  <c:v>2.8226310529955003</c:v>
                </c:pt>
                <c:pt idx="102">
                  <c:v>2.829103959203894</c:v>
                </c:pt>
                <c:pt idx="103">
                  <c:v>2.7409906151039802</c:v>
                </c:pt>
                <c:pt idx="104">
                  <c:v>2.7813081159342112</c:v>
                </c:pt>
                <c:pt idx="105">
                  <c:v>2.7324909963092461</c:v>
                </c:pt>
                <c:pt idx="106">
                  <c:v>2.8330244024607696</c:v>
                </c:pt>
                <c:pt idx="107">
                  <c:v>2.9499848014161567</c:v>
                </c:pt>
                <c:pt idx="108">
                  <c:v>2.7517403047522402</c:v>
                </c:pt>
                <c:pt idx="109">
                  <c:v>2.8630867167979632</c:v>
                </c:pt>
                <c:pt idx="110">
                  <c:v>2.8490259262973812</c:v>
                </c:pt>
                <c:pt idx="111">
                  <c:v>2.7729141986690653</c:v>
                </c:pt>
                <c:pt idx="112">
                  <c:v>2.8662441683000583</c:v>
                </c:pt>
                <c:pt idx="113">
                  <c:v>2.849636886767958</c:v>
                </c:pt>
                <c:pt idx="114">
                  <c:v>2.906436460705093</c:v>
                </c:pt>
                <c:pt idx="115">
                  <c:v>2.8135399162626871</c:v>
                </c:pt>
                <c:pt idx="116">
                  <c:v>2.8527368726506559</c:v>
                </c:pt>
                <c:pt idx="117">
                  <c:v>2.9959549867080302</c:v>
                </c:pt>
                <c:pt idx="118">
                  <c:v>2.8552896108448702</c:v>
                </c:pt>
                <c:pt idx="119">
                  <c:v>2.8211803707038707</c:v>
                </c:pt>
                <c:pt idx="120">
                  <c:v>2.8038597555438747</c:v>
                </c:pt>
                <c:pt idx="121">
                  <c:v>2.8887821544906802</c:v>
                </c:pt>
                <c:pt idx="122">
                  <c:v>2.965787700491922</c:v>
                </c:pt>
                <c:pt idx="123">
                  <c:v>2.8834368871842386</c:v>
                </c:pt>
                <c:pt idx="124">
                  <c:v>2.8890663424521126</c:v>
                </c:pt>
                <c:pt idx="125">
                  <c:v>2.9520891771633808</c:v>
                </c:pt>
                <c:pt idx="126">
                  <c:v>2.9520891771633808</c:v>
                </c:pt>
                <c:pt idx="127">
                  <c:v>2.8741475484912491</c:v>
                </c:pt>
                <c:pt idx="128">
                  <c:v>2.8671262256729442</c:v>
                </c:pt>
                <c:pt idx="129">
                  <c:v>2.8903095837521988</c:v>
                </c:pt>
                <c:pt idx="130">
                  <c:v>2.9418140433010573</c:v>
                </c:pt>
                <c:pt idx="131">
                  <c:v>2.9434460365028361</c:v>
                </c:pt>
                <c:pt idx="132">
                  <c:v>2.934813783525184</c:v>
                </c:pt>
                <c:pt idx="133">
                  <c:v>2.8945232388578077</c:v>
                </c:pt>
                <c:pt idx="134">
                  <c:v>2.9499901005777627</c:v>
                </c:pt>
                <c:pt idx="135">
                  <c:v>2.9657309944056793</c:v>
                </c:pt>
                <c:pt idx="136">
                  <c:v>2.9421352923757902</c:v>
                </c:pt>
                <c:pt idx="137">
                  <c:v>2.9210733846538757</c:v>
                </c:pt>
                <c:pt idx="138">
                  <c:v>3.010721277595974</c:v>
                </c:pt>
                <c:pt idx="139">
                  <c:v>3.0185665691903587</c:v>
                </c:pt>
                <c:pt idx="140">
                  <c:v>3.0836668614783536</c:v>
                </c:pt>
                <c:pt idx="141">
                  <c:v>3.2303841664326391</c:v>
                </c:pt>
                <c:pt idx="142">
                  <c:v>3.1906602593754965</c:v>
                </c:pt>
                <c:pt idx="143">
                  <c:v>3.203448023992193</c:v>
                </c:pt>
                <c:pt idx="144">
                  <c:v>3.1646214432377771</c:v>
                </c:pt>
                <c:pt idx="145">
                  <c:v>3.2054952480683498</c:v>
                </c:pt>
                <c:pt idx="146">
                  <c:v>3.0977249990008673</c:v>
                </c:pt>
                <c:pt idx="147">
                  <c:v>3.099624472098617</c:v>
                </c:pt>
                <c:pt idx="148">
                  <c:v>3.15833601022109</c:v>
                </c:pt>
                <c:pt idx="149">
                  <c:v>3.0976908405721226</c:v>
                </c:pt>
                <c:pt idx="150">
                  <c:v>3.246918870745366</c:v>
                </c:pt>
                <c:pt idx="151">
                  <c:v>3.1533818856720108</c:v>
                </c:pt>
                <c:pt idx="152">
                  <c:v>3.2716745782906234</c:v>
                </c:pt>
                <c:pt idx="153">
                  <c:v>3.1077706089929586</c:v>
                </c:pt>
                <c:pt idx="154">
                  <c:v>3.1493421037475091</c:v>
                </c:pt>
                <c:pt idx="155">
                  <c:v>3.1000555556365059</c:v>
                </c:pt>
                <c:pt idx="156">
                  <c:v>3.0806666438365076</c:v>
                </c:pt>
                <c:pt idx="157">
                  <c:v>3.135782280401715</c:v>
                </c:pt>
                <c:pt idx="158">
                  <c:v>3.1368533697107575</c:v>
                </c:pt>
                <c:pt idx="159">
                  <c:v>3.1648596491008436</c:v>
                </c:pt>
                <c:pt idx="160">
                  <c:v>3.1906191164854683</c:v>
                </c:pt>
                <c:pt idx="161">
                  <c:v>3.1208635924092638</c:v>
                </c:pt>
                <c:pt idx="162">
                  <c:v>3.1071100540341132</c:v>
                </c:pt>
                <c:pt idx="163">
                  <c:v>3.1589534394937262</c:v>
                </c:pt>
                <c:pt idx="164">
                  <c:v>3.199245831505185</c:v>
                </c:pt>
                <c:pt idx="165">
                  <c:v>3.2734439033922484</c:v>
                </c:pt>
                <c:pt idx="166">
                  <c:v>3.2019032956223645</c:v>
                </c:pt>
                <c:pt idx="167">
                  <c:v>3.2038530678146264</c:v>
                </c:pt>
                <c:pt idx="168">
                  <c:v>3.3354259773695754</c:v>
                </c:pt>
                <c:pt idx="169">
                  <c:v>3.2637291762215188</c:v>
                </c:pt>
                <c:pt idx="170">
                  <c:v>3.2541552169616375</c:v>
                </c:pt>
                <c:pt idx="171">
                  <c:v>3.4175030035296916</c:v>
                </c:pt>
                <c:pt idx="172">
                  <c:v>3.2977122297307933</c:v>
                </c:pt>
                <c:pt idx="173">
                  <c:v>3.3382033178207884</c:v>
                </c:pt>
                <c:pt idx="174">
                  <c:v>3.2240272943846913</c:v>
                </c:pt>
                <c:pt idx="175">
                  <c:v>3.4209658759350985</c:v>
                </c:pt>
                <c:pt idx="176">
                  <c:v>3.4070169107082036</c:v>
                </c:pt>
                <c:pt idx="177">
                  <c:v>3.481613086901028</c:v>
                </c:pt>
                <c:pt idx="178">
                  <c:v>3.505384029416204</c:v>
                </c:pt>
                <c:pt idx="179">
                  <c:v>3.5275731977076559</c:v>
                </c:pt>
                <c:pt idx="180">
                  <c:v>3.552680718582649</c:v>
                </c:pt>
                <c:pt idx="181">
                  <c:v>3.4162537458411313</c:v>
                </c:pt>
                <c:pt idx="182">
                  <c:v>3.4138950247442441</c:v>
                </c:pt>
                <c:pt idx="183">
                  <c:v>3.4873978163293553</c:v>
                </c:pt>
                <c:pt idx="184">
                  <c:v>3.6042180487179758</c:v>
                </c:pt>
                <c:pt idx="185">
                  <c:v>3.6064856976927988</c:v>
                </c:pt>
                <c:pt idx="186">
                  <c:v>3.5242378667768532</c:v>
                </c:pt>
                <c:pt idx="187">
                  <c:v>3.6530140148784653</c:v>
                </c:pt>
                <c:pt idx="188">
                  <c:v>3.4149491752774219</c:v>
                </c:pt>
                <c:pt idx="189">
                  <c:v>3.6478228444224126</c:v>
                </c:pt>
                <c:pt idx="190">
                  <c:v>3.5475965483356315</c:v>
                </c:pt>
                <c:pt idx="191">
                  <c:v>3.4100225279724947</c:v>
                </c:pt>
                <c:pt idx="192">
                  <c:v>3.4869589682178144</c:v>
                </c:pt>
                <c:pt idx="193">
                  <c:v>3.4947172400190389</c:v>
                </c:pt>
                <c:pt idx="194">
                  <c:v>3.5574661565872177</c:v>
                </c:pt>
                <c:pt idx="195">
                  <c:v>3.6486561552313006</c:v>
                </c:pt>
                <c:pt idx="196">
                  <c:v>3.5409817408532285</c:v>
                </c:pt>
                <c:pt idx="197">
                  <c:v>3.7565214661943287</c:v>
                </c:pt>
                <c:pt idx="198">
                  <c:v>3.7031429076002849</c:v>
                </c:pt>
                <c:pt idx="199">
                  <c:v>3.7583715405712566</c:v>
                </c:pt>
                <c:pt idx="200">
                  <c:v>3.7060352065578597</c:v>
                </c:pt>
                <c:pt idx="201">
                  <c:v>3.7159036306241462</c:v>
                </c:pt>
                <c:pt idx="202">
                  <c:v>3.7883796510797678</c:v>
                </c:pt>
                <c:pt idx="203">
                  <c:v>3.6592985265796525</c:v>
                </c:pt>
                <c:pt idx="204">
                  <c:v>3.67830109813739</c:v>
                </c:pt>
                <c:pt idx="205">
                  <c:v>3.737505672110216</c:v>
                </c:pt>
                <c:pt idx="206">
                  <c:v>3.6970912991892146</c:v>
                </c:pt>
                <c:pt idx="207">
                  <c:v>4.0216650788915516</c:v>
                </c:pt>
                <c:pt idx="208">
                  <c:v>3.7584494890319275</c:v>
                </c:pt>
                <c:pt idx="209">
                  <c:v>3.8178709643285975</c:v>
                </c:pt>
                <c:pt idx="210">
                  <c:v>3.8160173622934641</c:v>
                </c:pt>
                <c:pt idx="211">
                  <c:v>4.019971828281748</c:v>
                </c:pt>
                <c:pt idx="212">
                  <c:v>4.0488940805818281</c:v>
                </c:pt>
                <c:pt idx="213">
                  <c:v>3.8957186959541943</c:v>
                </c:pt>
                <c:pt idx="214">
                  <c:v>4.0570709535450211</c:v>
                </c:pt>
                <c:pt idx="215">
                  <c:v>4.0188542711496638</c:v>
                </c:pt>
                <c:pt idx="216">
                  <c:v>3.9898459728972941</c:v>
                </c:pt>
                <c:pt idx="217">
                  <c:v>3.951740037443753</c:v>
                </c:pt>
                <c:pt idx="218">
                  <c:v>4.0041398706658526</c:v>
                </c:pt>
                <c:pt idx="219">
                  <c:v>4.0699763608713271</c:v>
                </c:pt>
                <c:pt idx="220">
                  <c:v>4.3049229267814484</c:v>
                </c:pt>
                <c:pt idx="221">
                  <c:v>4.2424280235345968</c:v>
                </c:pt>
                <c:pt idx="222">
                  <c:v>4.2195559991490557</c:v>
                </c:pt>
                <c:pt idx="223">
                  <c:v>4.3894352849213991</c:v>
                </c:pt>
                <c:pt idx="224">
                  <c:v>4.484054223934173</c:v>
                </c:pt>
                <c:pt idx="225">
                  <c:v>4.5015012265553542</c:v>
                </c:pt>
                <c:pt idx="226">
                  <c:v>4.4051712565472227</c:v>
                </c:pt>
                <c:pt idx="227">
                  <c:v>4.4011828257524908</c:v>
                </c:pt>
                <c:pt idx="228">
                  <c:v>4.3007045573433853</c:v>
                </c:pt>
                <c:pt idx="229">
                  <c:v>4.4480168673928766</c:v>
                </c:pt>
                <c:pt idx="230">
                  <c:v>4.5760746698941492</c:v>
                </c:pt>
                <c:pt idx="231">
                  <c:v>4.6941680276676863</c:v>
                </c:pt>
                <c:pt idx="232">
                  <c:v>4.7145937481047335</c:v>
                </c:pt>
                <c:pt idx="233">
                  <c:v>4.6306801973802756</c:v>
                </c:pt>
                <c:pt idx="234">
                  <c:v>4.5830599155992875</c:v>
                </c:pt>
                <c:pt idx="235">
                  <c:v>4.7822564418371964</c:v>
                </c:pt>
                <c:pt idx="236">
                  <c:v>4.8904281129582055</c:v>
                </c:pt>
                <c:pt idx="237">
                  <c:v>4.9314930911673018</c:v>
                </c:pt>
                <c:pt idx="238">
                  <c:v>5.2005775453570307</c:v>
                </c:pt>
                <c:pt idx="239">
                  <c:v>5.2838374958585685</c:v>
                </c:pt>
                <c:pt idx="240">
                  <c:v>5.4168380982244431</c:v>
                </c:pt>
                <c:pt idx="241">
                  <c:v>5.3750743773598355</c:v>
                </c:pt>
                <c:pt idx="242">
                  <c:v>5.3797279624843029</c:v>
                </c:pt>
                <c:pt idx="243">
                  <c:v>5.5507301977417027</c:v>
                </c:pt>
              </c:numCache>
            </c:numRef>
          </c:val>
          <c:smooth val="0"/>
          <c:extLst>
            <c:ext xmlns:c16="http://schemas.microsoft.com/office/drawing/2014/chart" uri="{C3380CC4-5D6E-409C-BE32-E72D297353CC}">
              <c16:uniqueId val="{00000006-B27B-5D4F-8F2C-E6C022FBAA37}"/>
            </c:ext>
          </c:extLst>
        </c:ser>
        <c:dLbls>
          <c:showLegendKey val="0"/>
          <c:showVal val="0"/>
          <c:showCatName val="0"/>
          <c:showSerName val="0"/>
          <c:showPercent val="0"/>
          <c:showBubbleSize val="0"/>
        </c:dLbls>
        <c:smooth val="0"/>
        <c:axId val="1124861903"/>
        <c:axId val="1487225423"/>
      </c:lineChart>
      <c:catAx>
        <c:axId val="1124861903"/>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87225423"/>
        <c:crosses val="autoZero"/>
        <c:auto val="1"/>
        <c:lblAlgn val="ctr"/>
        <c:lblOffset val="100"/>
        <c:noMultiLvlLbl val="0"/>
      </c:catAx>
      <c:valAx>
        <c:axId val="14872254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2486190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6350"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22</xdr:col>
      <xdr:colOff>2083</xdr:colOff>
      <xdr:row>44</xdr:row>
      <xdr:rowOff>45042</xdr:rowOff>
    </xdr:from>
    <xdr:to>
      <xdr:col>26</xdr:col>
      <xdr:colOff>838678</xdr:colOff>
      <xdr:row>58</xdr:row>
      <xdr:rowOff>119366</xdr:rowOff>
    </xdr:to>
    <xdr:graphicFrame macro="">
      <xdr:nvGraphicFramePr>
        <xdr:cNvPr id="10" name="Chart 9">
          <a:extLst>
            <a:ext uri="{FF2B5EF4-FFF2-40B4-BE49-F238E27FC236}">
              <a16:creationId xmlns:a16="http://schemas.microsoft.com/office/drawing/2014/main" id="{5D755BA5-69BB-A908-E445-D25856F49ED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6178.460825578702" createdVersion="8" refreshedVersion="8" minRefreshableVersion="3" recordCount="244" xr:uid="{436B4734-EFEB-FA48-90E4-6B0EF88291E7}">
  <cacheSource type="worksheet">
    <worksheetSource ref="A1:H245" sheet="tips"/>
  </cacheSource>
  <cacheFields count="8">
    <cacheField name="sex" numFmtId="0">
      <sharedItems count="2">
        <s v="Female"/>
        <s v="Male"/>
      </sharedItems>
    </cacheField>
    <cacheField name="smoker" numFmtId="0">
      <sharedItems count="2">
        <s v="Yes"/>
        <s v="No"/>
      </sharedItems>
    </cacheField>
    <cacheField name="day" numFmtId="0">
      <sharedItems count="4">
        <s v="Sat"/>
        <s v="Fri"/>
        <s v="Sun"/>
        <s v="Thur"/>
      </sharedItems>
    </cacheField>
    <cacheField name="time" numFmtId="0">
      <sharedItems count="2">
        <s v="Dinner"/>
        <s v="Lunch"/>
      </sharedItems>
    </cacheField>
    <cacheField name="size" numFmtId="0">
      <sharedItems containsSemiMixedTypes="0" containsString="0" containsNumber="1" containsInteger="1" minValue="1" maxValue="6" count="6">
        <n v="1"/>
        <n v="2"/>
        <n v="3"/>
        <n v="4"/>
        <n v="5"/>
        <n v="6"/>
      </sharedItems>
    </cacheField>
    <cacheField name="total_bill" numFmtId="0">
      <sharedItems containsSemiMixedTypes="0" containsString="0" containsNumber="1" minValue="3.07" maxValue="50.81" count="229">
        <n v="3.07"/>
        <n v="5.75"/>
        <n v="7.25"/>
        <n v="12.6"/>
        <n v="16.989999999999998"/>
        <n v="12.9"/>
        <n v="32.83"/>
        <n v="10.51"/>
        <n v="8.51"/>
        <n v="10.07"/>
        <n v="9.68"/>
        <n v="18.64"/>
        <n v="7.56"/>
        <n v="7.74"/>
        <n v="9.5500000000000007"/>
        <n v="10.77"/>
        <n v="8.52"/>
        <n v="26.41"/>
        <n v="12.03"/>
        <n v="12.46"/>
        <n v="10.65"/>
        <n v="19.079999999999998"/>
        <n v="11.17"/>
        <n v="8.35"/>
        <n v="15.69"/>
        <n v="11.59"/>
        <n v="9.94"/>
        <n v="15.42"/>
        <n v="13.42"/>
        <n v="10.59"/>
        <n v="11.87"/>
        <n v="15.36"/>
        <n v="10.34"/>
        <n v="10.33"/>
        <n v="10.27"/>
        <n v="9.7799999999999994"/>
        <n v="17.82"/>
        <n v="11.24"/>
        <n v="12.43"/>
        <n v="8.58"/>
        <n v="15.04"/>
        <n v="12.02"/>
        <n v="11.02"/>
        <n v="8.77"/>
        <n v="13.37"/>
        <n v="12.69"/>
        <n v="16.309999999999999"/>
        <n v="13.81"/>
        <n v="13.03"/>
        <n v="15.95"/>
        <n v="14.52"/>
        <n v="11.38"/>
        <n v="12.26"/>
        <n v="14.15"/>
        <n v="16"/>
        <n v="7.51"/>
        <n v="13.13"/>
        <n v="24.55"/>
        <n v="19.77"/>
        <n v="16.489999999999998"/>
        <n v="16.21"/>
        <n v="10.63"/>
        <n v="17.89"/>
        <n v="14.48"/>
        <n v="30.46"/>
        <n v="13"/>
        <n v="13.51"/>
        <n v="30.06"/>
        <n v="10.09"/>
        <n v="24.01"/>
        <n v="27.18"/>
        <n v="22.67"/>
        <n v="20.23"/>
        <n v="12.74"/>
        <n v="15.48"/>
        <n v="15.98"/>
        <n v="24.27"/>
        <n v="28.55"/>
        <n v="15.01"/>
        <n v="22.82"/>
        <n v="14.73"/>
        <n v="12.16"/>
        <n v="15.77"/>
        <n v="12.76"/>
        <n v="16.04"/>
        <n v="20.76"/>
        <n v="16.43"/>
        <n v="18.690000000000001"/>
        <n v="11.69"/>
        <n v="17.809999999999999"/>
        <n v="20.69"/>
        <n v="16.45"/>
        <n v="18.350000000000001"/>
        <n v="12.54"/>
        <n v="11.35"/>
        <n v="44.3"/>
        <n v="14.26"/>
        <n v="14.07"/>
        <n v="12.66"/>
        <n v="16.399999999999999"/>
        <n v="13.27"/>
        <n v="16.27"/>
        <n v="12.48"/>
        <n v="17.46"/>
        <n v="23.95"/>
        <n v="28.44"/>
        <n v="10.29"/>
        <n v="13.39"/>
        <n v="17.59"/>
        <n v="17.29"/>
        <n v="13.28"/>
        <n v="17.260000000000002"/>
        <n v="20.29"/>
        <n v="13.16"/>
        <n v="20.27"/>
        <n v="22.12"/>
        <n v="24.08"/>
        <n v="18.43"/>
        <n v="19.649999999999999"/>
        <n v="15.06"/>
        <n v="18.29"/>
        <n v="18.04"/>
        <n v="38.01"/>
        <n v="17.07"/>
        <n v="22.76"/>
        <n v="19.440000000000001"/>
        <n v="21.16"/>
        <n v="28.97"/>
        <n v="21.01"/>
        <n v="15.38"/>
        <n v="14"/>
        <n v="17.510000000000002"/>
        <n v="40.549999999999997"/>
        <n v="38.729999999999997"/>
        <n v="28.15"/>
        <n v="20.45"/>
        <n v="15.53"/>
        <n v="18.78"/>
        <n v="14.83"/>
        <n v="13.94"/>
        <n v="16.93"/>
        <n v="17.920000000000002"/>
        <n v="30.14"/>
        <n v="32.9"/>
        <n v="26.88"/>
        <n v="26.86"/>
        <n v="20.079999999999998"/>
        <n v="15.81"/>
        <n v="19.82"/>
        <n v="31.85"/>
        <n v="14.78"/>
        <n v="16.47"/>
        <n v="22.75"/>
        <n v="18.260000000000002"/>
        <n v="17.78"/>
        <n v="23.68"/>
        <n v="20.65"/>
        <n v="11.61"/>
        <n v="16.66"/>
        <n v="26.59"/>
        <n v="22.42"/>
        <n v="24.52"/>
        <n v="16.97"/>
        <n v="22.49"/>
        <n v="17.309999999999999"/>
        <n v="17.47"/>
        <n v="21.5"/>
        <n v="45.35"/>
        <n v="20.9"/>
        <n v="18.149999999999999"/>
        <n v="19.489999999999998"/>
        <n v="34.630000000000003"/>
        <n v="24.06"/>
        <n v="24.59"/>
        <n v="34.65"/>
        <n v="16.29"/>
        <n v="25"/>
        <n v="18.239999999999998"/>
        <n v="21.58"/>
        <n v="27.2"/>
        <n v="18.28"/>
        <n v="27.28"/>
        <n v="14.31"/>
        <n v="38.07"/>
        <n v="25.71"/>
        <n v="16.82"/>
        <n v="9.6"/>
        <n v="23.1"/>
        <n v="16.579999999999998"/>
        <n v="18.71"/>
        <n v="20.53"/>
        <n v="20.49"/>
        <n v="20.92"/>
        <n v="19.809999999999999"/>
        <n v="29.8"/>
        <n v="25.21"/>
        <n v="21.7"/>
        <n v="16.32"/>
        <n v="25.56"/>
        <n v="31.71"/>
        <n v="35.83"/>
        <n v="25.29"/>
        <n v="40.17"/>
        <n v="35.26"/>
        <n v="31.27"/>
        <n v="22.23"/>
        <n v="25.28"/>
        <n v="32.68"/>
        <n v="41.19"/>
        <n v="27.05"/>
        <n v="48.17"/>
        <n v="43.11"/>
        <n v="29.93"/>
        <n v="29.85"/>
        <n v="25.89"/>
        <n v="34.83"/>
        <n v="34.81"/>
        <n v="30.4"/>
        <n v="23.33"/>
        <n v="24.71"/>
        <n v="29.03"/>
        <n v="32.4"/>
        <n v="23.17"/>
        <n v="28.17"/>
        <n v="34.299999999999997"/>
        <n v="48.27"/>
        <n v="39.42"/>
        <n v="48.33"/>
        <n v="50.81"/>
      </sharedItems>
    </cacheField>
    <cacheField name="tip" numFmtId="0">
      <sharedItems containsSemiMixedTypes="0" containsString="0" containsNumber="1" minValue="1" maxValue="10"/>
    </cacheField>
    <cacheField name="tip %" numFmtId="10">
      <sharedItems containsSemiMixedTypes="0" containsString="0" containsNumber="1" minValue="3.5638135851355467E-2" maxValue="0.71034482758620698"/>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
  <r>
    <x v="0"/>
    <x v="0"/>
    <x v="0"/>
    <x v="0"/>
    <x v="0"/>
    <x v="0"/>
    <n v="1"/>
    <n v="0.32573289902280134"/>
  </r>
  <r>
    <x v="0"/>
    <x v="0"/>
    <x v="1"/>
    <x v="0"/>
    <x v="1"/>
    <x v="1"/>
    <n v="1"/>
    <n v="0.17391304347826086"/>
  </r>
  <r>
    <x v="0"/>
    <x v="1"/>
    <x v="0"/>
    <x v="0"/>
    <x v="0"/>
    <x v="2"/>
    <n v="1"/>
    <n v="0.13793103448275862"/>
  </r>
  <r>
    <x v="1"/>
    <x v="0"/>
    <x v="0"/>
    <x v="0"/>
    <x v="1"/>
    <x v="3"/>
    <n v="1"/>
    <n v="7.9365079365079361E-2"/>
  </r>
  <r>
    <x v="0"/>
    <x v="1"/>
    <x v="2"/>
    <x v="0"/>
    <x v="1"/>
    <x v="4"/>
    <n v="1.01"/>
    <n v="5.9446733372572107E-2"/>
  </r>
  <r>
    <x v="0"/>
    <x v="0"/>
    <x v="0"/>
    <x v="0"/>
    <x v="1"/>
    <x v="5"/>
    <n v="1.1000000000000001"/>
    <n v="8.5271317829457363E-2"/>
  </r>
  <r>
    <x v="1"/>
    <x v="0"/>
    <x v="0"/>
    <x v="0"/>
    <x v="1"/>
    <x v="6"/>
    <n v="1.17"/>
    <n v="3.5638135851355467E-2"/>
  </r>
  <r>
    <x v="1"/>
    <x v="1"/>
    <x v="0"/>
    <x v="0"/>
    <x v="1"/>
    <x v="7"/>
    <n v="1.25"/>
    <n v="0.11893434823977164"/>
  </r>
  <r>
    <x v="0"/>
    <x v="1"/>
    <x v="3"/>
    <x v="1"/>
    <x v="1"/>
    <x v="8"/>
    <n v="1.25"/>
    <n v="0.14688601645123384"/>
  </r>
  <r>
    <x v="1"/>
    <x v="1"/>
    <x v="0"/>
    <x v="0"/>
    <x v="1"/>
    <x v="9"/>
    <n v="1.25"/>
    <n v="0.12413108242303872"/>
  </r>
  <r>
    <x v="1"/>
    <x v="1"/>
    <x v="2"/>
    <x v="0"/>
    <x v="1"/>
    <x v="10"/>
    <n v="1.32"/>
    <n v="0.13636363636363638"/>
  </r>
  <r>
    <x v="0"/>
    <x v="1"/>
    <x v="3"/>
    <x v="1"/>
    <x v="2"/>
    <x v="11"/>
    <n v="1.36"/>
    <n v="7.2961373390557943E-2"/>
  </r>
  <r>
    <x v="1"/>
    <x v="1"/>
    <x v="3"/>
    <x v="1"/>
    <x v="1"/>
    <x v="12"/>
    <n v="1.44"/>
    <n v="0.19047619047619047"/>
  </r>
  <r>
    <x v="1"/>
    <x v="0"/>
    <x v="0"/>
    <x v="0"/>
    <x v="1"/>
    <x v="13"/>
    <n v="1.44"/>
    <n v="0.18604651162790697"/>
  </r>
  <r>
    <x v="1"/>
    <x v="1"/>
    <x v="0"/>
    <x v="0"/>
    <x v="1"/>
    <x v="14"/>
    <n v="1.45"/>
    <n v="0.15183246073298429"/>
  </r>
  <r>
    <x v="1"/>
    <x v="1"/>
    <x v="0"/>
    <x v="0"/>
    <x v="1"/>
    <x v="15"/>
    <n v="1.47"/>
    <n v="0.13649025069637882"/>
  </r>
  <r>
    <x v="1"/>
    <x v="1"/>
    <x v="3"/>
    <x v="1"/>
    <x v="1"/>
    <x v="16"/>
    <n v="1.48"/>
    <n v="0.17370892018779344"/>
  </r>
  <r>
    <x v="0"/>
    <x v="1"/>
    <x v="0"/>
    <x v="0"/>
    <x v="1"/>
    <x v="17"/>
    <n v="1.5"/>
    <n v="5.679666792881484E-2"/>
  </r>
  <r>
    <x v="1"/>
    <x v="0"/>
    <x v="1"/>
    <x v="0"/>
    <x v="1"/>
    <x v="18"/>
    <n v="1.5"/>
    <n v="0.12468827930174564"/>
  </r>
  <r>
    <x v="1"/>
    <x v="1"/>
    <x v="1"/>
    <x v="0"/>
    <x v="1"/>
    <x v="19"/>
    <n v="1.5"/>
    <n v="0.1203852327447833"/>
  </r>
  <r>
    <x v="0"/>
    <x v="1"/>
    <x v="3"/>
    <x v="1"/>
    <x v="1"/>
    <x v="20"/>
    <n v="1.5"/>
    <n v="0.14084507042253522"/>
  </r>
  <r>
    <x v="1"/>
    <x v="1"/>
    <x v="3"/>
    <x v="1"/>
    <x v="1"/>
    <x v="21"/>
    <n v="1.5"/>
    <n v="7.8616352201257872E-2"/>
  </r>
  <r>
    <x v="0"/>
    <x v="1"/>
    <x v="3"/>
    <x v="1"/>
    <x v="1"/>
    <x v="22"/>
    <n v="1.5"/>
    <n v="0.13428827215756492"/>
  </r>
  <r>
    <x v="0"/>
    <x v="1"/>
    <x v="3"/>
    <x v="1"/>
    <x v="1"/>
    <x v="23"/>
    <n v="1.5"/>
    <n v="0.17964071856287425"/>
  </r>
  <r>
    <x v="1"/>
    <x v="0"/>
    <x v="2"/>
    <x v="0"/>
    <x v="1"/>
    <x v="24"/>
    <n v="1.5"/>
    <n v="9.5602294455066919E-2"/>
  </r>
  <r>
    <x v="1"/>
    <x v="0"/>
    <x v="0"/>
    <x v="0"/>
    <x v="1"/>
    <x v="25"/>
    <n v="1.5"/>
    <n v="0.12942191544434858"/>
  </r>
  <r>
    <x v="1"/>
    <x v="1"/>
    <x v="2"/>
    <x v="0"/>
    <x v="1"/>
    <x v="26"/>
    <n v="1.56"/>
    <n v="0.15694164989939638"/>
  </r>
  <r>
    <x v="1"/>
    <x v="1"/>
    <x v="2"/>
    <x v="0"/>
    <x v="1"/>
    <x v="27"/>
    <n v="1.57"/>
    <n v="0.10181582360570687"/>
  </r>
  <r>
    <x v="1"/>
    <x v="0"/>
    <x v="1"/>
    <x v="1"/>
    <x v="1"/>
    <x v="28"/>
    <n v="1.58"/>
    <n v="0.11773472429210134"/>
  </r>
  <r>
    <x v="0"/>
    <x v="0"/>
    <x v="0"/>
    <x v="0"/>
    <x v="1"/>
    <x v="29"/>
    <n v="1.61"/>
    <n v="0.15203021718602455"/>
  </r>
  <r>
    <x v="0"/>
    <x v="1"/>
    <x v="3"/>
    <x v="1"/>
    <x v="1"/>
    <x v="30"/>
    <n v="1.63"/>
    <n v="0.13732097725358045"/>
  </r>
  <r>
    <x v="1"/>
    <x v="0"/>
    <x v="0"/>
    <x v="0"/>
    <x v="1"/>
    <x v="31"/>
    <n v="1.64"/>
    <n v="0.10677083333333333"/>
  </r>
  <r>
    <x v="1"/>
    <x v="1"/>
    <x v="2"/>
    <x v="0"/>
    <x v="2"/>
    <x v="32"/>
    <n v="1.66"/>
    <n v="0.16054158607350097"/>
  </r>
  <r>
    <x v="0"/>
    <x v="1"/>
    <x v="2"/>
    <x v="0"/>
    <x v="2"/>
    <x v="33"/>
    <n v="1.67"/>
    <n v="0.16166505324298161"/>
  </r>
  <r>
    <x v="0"/>
    <x v="1"/>
    <x v="3"/>
    <x v="1"/>
    <x v="1"/>
    <x v="28"/>
    <n v="1.68"/>
    <n v="0.12518628912071533"/>
  </r>
  <r>
    <x v="1"/>
    <x v="1"/>
    <x v="2"/>
    <x v="0"/>
    <x v="1"/>
    <x v="34"/>
    <n v="1.71"/>
    <n v="0.1665043816942551"/>
  </r>
  <r>
    <x v="1"/>
    <x v="1"/>
    <x v="3"/>
    <x v="1"/>
    <x v="1"/>
    <x v="35"/>
    <n v="1.73"/>
    <n v="0.17689161554192229"/>
  </r>
  <r>
    <x v="1"/>
    <x v="1"/>
    <x v="0"/>
    <x v="0"/>
    <x v="1"/>
    <x v="36"/>
    <n v="1.75"/>
    <n v="9.8204264870931535E-2"/>
  </r>
  <r>
    <x v="1"/>
    <x v="0"/>
    <x v="0"/>
    <x v="0"/>
    <x v="1"/>
    <x v="37"/>
    <n v="1.76"/>
    <n v="0.15658362989323843"/>
  </r>
  <r>
    <x v="0"/>
    <x v="1"/>
    <x v="3"/>
    <x v="1"/>
    <x v="1"/>
    <x v="38"/>
    <n v="1.8"/>
    <n v="0.14481094127111827"/>
  </r>
  <r>
    <x v="0"/>
    <x v="1"/>
    <x v="3"/>
    <x v="1"/>
    <x v="0"/>
    <x v="9"/>
    <n v="1.83"/>
    <n v="0.18172790466732869"/>
  </r>
  <r>
    <x v="1"/>
    <x v="0"/>
    <x v="1"/>
    <x v="1"/>
    <x v="0"/>
    <x v="39"/>
    <n v="1.92"/>
    <n v="0.22377622377622378"/>
  </r>
  <r>
    <x v="1"/>
    <x v="1"/>
    <x v="2"/>
    <x v="0"/>
    <x v="1"/>
    <x v="40"/>
    <n v="1.96"/>
    <n v="0.13031914893617022"/>
  </r>
  <r>
    <x v="1"/>
    <x v="1"/>
    <x v="0"/>
    <x v="0"/>
    <x v="1"/>
    <x v="41"/>
    <n v="1.97"/>
    <n v="0.16389351081530781"/>
  </r>
  <r>
    <x v="1"/>
    <x v="0"/>
    <x v="0"/>
    <x v="0"/>
    <x v="1"/>
    <x v="42"/>
    <n v="1.98"/>
    <n v="0.17967332123411978"/>
  </r>
  <r>
    <x v="1"/>
    <x v="1"/>
    <x v="2"/>
    <x v="0"/>
    <x v="1"/>
    <x v="43"/>
    <n v="2"/>
    <n v="0.22805017103762829"/>
  </r>
  <r>
    <x v="1"/>
    <x v="1"/>
    <x v="0"/>
    <x v="0"/>
    <x v="1"/>
    <x v="44"/>
    <n v="2"/>
    <n v="0.14958863126402394"/>
  </r>
  <r>
    <x v="1"/>
    <x v="1"/>
    <x v="0"/>
    <x v="0"/>
    <x v="1"/>
    <x v="45"/>
    <n v="2"/>
    <n v="0.15760441292356187"/>
  </r>
  <r>
    <x v="1"/>
    <x v="1"/>
    <x v="0"/>
    <x v="0"/>
    <x v="2"/>
    <x v="46"/>
    <n v="2"/>
    <n v="0.12262415695892091"/>
  </r>
  <r>
    <x v="1"/>
    <x v="0"/>
    <x v="0"/>
    <x v="0"/>
    <x v="1"/>
    <x v="47"/>
    <n v="2"/>
    <n v="0.14482259232440259"/>
  </r>
  <r>
    <x v="1"/>
    <x v="1"/>
    <x v="3"/>
    <x v="1"/>
    <x v="1"/>
    <x v="48"/>
    <n v="2"/>
    <n v="0.15349194167306218"/>
  </r>
  <r>
    <x v="1"/>
    <x v="1"/>
    <x v="3"/>
    <x v="1"/>
    <x v="1"/>
    <x v="49"/>
    <n v="2"/>
    <n v="0.12539184952978058"/>
  </r>
  <r>
    <x v="0"/>
    <x v="1"/>
    <x v="3"/>
    <x v="1"/>
    <x v="1"/>
    <x v="50"/>
    <n v="2"/>
    <n v="0.13774104683195593"/>
  </r>
  <r>
    <x v="0"/>
    <x v="1"/>
    <x v="3"/>
    <x v="1"/>
    <x v="1"/>
    <x v="51"/>
    <n v="2"/>
    <n v="0.17574692442882248"/>
  </r>
  <r>
    <x v="0"/>
    <x v="1"/>
    <x v="3"/>
    <x v="1"/>
    <x v="1"/>
    <x v="52"/>
    <n v="2"/>
    <n v="0.16313213703099511"/>
  </r>
  <r>
    <x v="0"/>
    <x v="1"/>
    <x v="3"/>
    <x v="1"/>
    <x v="1"/>
    <x v="33"/>
    <n v="2"/>
    <n v="0.1936108422071636"/>
  </r>
  <r>
    <x v="0"/>
    <x v="1"/>
    <x v="3"/>
    <x v="1"/>
    <x v="1"/>
    <x v="53"/>
    <n v="2"/>
    <n v="0.14134275618374559"/>
  </r>
  <r>
    <x v="1"/>
    <x v="0"/>
    <x v="3"/>
    <x v="1"/>
    <x v="1"/>
    <x v="54"/>
    <n v="2"/>
    <n v="0.125"/>
  </r>
  <r>
    <x v="1"/>
    <x v="1"/>
    <x v="3"/>
    <x v="1"/>
    <x v="1"/>
    <x v="55"/>
    <n v="2"/>
    <n v="0.26631158455392812"/>
  </r>
  <r>
    <x v="1"/>
    <x v="1"/>
    <x v="2"/>
    <x v="0"/>
    <x v="1"/>
    <x v="56"/>
    <n v="2"/>
    <n v="0.15232292460015232"/>
  </r>
  <r>
    <x v="1"/>
    <x v="1"/>
    <x v="2"/>
    <x v="0"/>
    <x v="3"/>
    <x v="57"/>
    <n v="2"/>
    <n v="8.1466395112016296E-2"/>
  </r>
  <r>
    <x v="1"/>
    <x v="1"/>
    <x v="2"/>
    <x v="0"/>
    <x v="3"/>
    <x v="58"/>
    <n v="2"/>
    <n v="0.10116337885685382"/>
  </r>
  <r>
    <x v="1"/>
    <x v="1"/>
    <x v="2"/>
    <x v="0"/>
    <x v="3"/>
    <x v="59"/>
    <n v="2"/>
    <n v="0.12128562765312312"/>
  </r>
  <r>
    <x v="0"/>
    <x v="1"/>
    <x v="2"/>
    <x v="0"/>
    <x v="2"/>
    <x v="60"/>
    <n v="2"/>
    <n v="0.12338062924120913"/>
  </r>
  <r>
    <x v="1"/>
    <x v="1"/>
    <x v="2"/>
    <x v="0"/>
    <x v="1"/>
    <x v="47"/>
    <n v="2"/>
    <n v="0.14482259232440259"/>
  </r>
  <r>
    <x v="0"/>
    <x v="0"/>
    <x v="0"/>
    <x v="0"/>
    <x v="1"/>
    <x v="61"/>
    <n v="2"/>
    <n v="0.18814675446848542"/>
  </r>
  <r>
    <x v="1"/>
    <x v="0"/>
    <x v="2"/>
    <x v="0"/>
    <x v="1"/>
    <x v="62"/>
    <n v="2"/>
    <n v="0.11179429849077696"/>
  </r>
  <r>
    <x v="1"/>
    <x v="0"/>
    <x v="2"/>
    <x v="0"/>
    <x v="1"/>
    <x v="63"/>
    <n v="2"/>
    <n v="0.13812154696132597"/>
  </r>
  <r>
    <x v="1"/>
    <x v="0"/>
    <x v="2"/>
    <x v="0"/>
    <x v="4"/>
    <x v="64"/>
    <n v="2"/>
    <n v="6.5659881812212731E-2"/>
  </r>
  <r>
    <x v="1"/>
    <x v="0"/>
    <x v="3"/>
    <x v="1"/>
    <x v="1"/>
    <x v="32"/>
    <n v="2"/>
    <n v="0.19342359767891684"/>
  </r>
  <r>
    <x v="0"/>
    <x v="0"/>
    <x v="3"/>
    <x v="1"/>
    <x v="1"/>
    <x v="65"/>
    <n v="2"/>
    <n v="0.15384615384615385"/>
  </r>
  <r>
    <x v="1"/>
    <x v="0"/>
    <x v="3"/>
    <x v="1"/>
    <x v="1"/>
    <x v="66"/>
    <n v="2"/>
    <n v="0.14803849000740193"/>
  </r>
  <r>
    <x v="0"/>
    <x v="0"/>
    <x v="3"/>
    <x v="1"/>
    <x v="1"/>
    <x v="65"/>
    <n v="2"/>
    <n v="0.15384615384615385"/>
  </r>
  <r>
    <x v="1"/>
    <x v="0"/>
    <x v="0"/>
    <x v="0"/>
    <x v="2"/>
    <x v="67"/>
    <n v="2"/>
    <n v="6.6533599467731214E-2"/>
  </r>
  <r>
    <x v="0"/>
    <x v="0"/>
    <x v="1"/>
    <x v="1"/>
    <x v="1"/>
    <x v="68"/>
    <n v="2"/>
    <n v="0.19821605550049554"/>
  </r>
  <r>
    <x v="1"/>
    <x v="0"/>
    <x v="0"/>
    <x v="0"/>
    <x v="3"/>
    <x v="69"/>
    <n v="2"/>
    <n v="8.3298625572678045E-2"/>
  </r>
  <r>
    <x v="0"/>
    <x v="0"/>
    <x v="0"/>
    <x v="0"/>
    <x v="1"/>
    <x v="70"/>
    <n v="2"/>
    <n v="7.358351729212656E-2"/>
  </r>
  <r>
    <x v="1"/>
    <x v="0"/>
    <x v="0"/>
    <x v="0"/>
    <x v="1"/>
    <x v="71"/>
    <n v="2"/>
    <n v="8.8222320247022493E-2"/>
  </r>
  <r>
    <x v="1"/>
    <x v="1"/>
    <x v="0"/>
    <x v="0"/>
    <x v="1"/>
    <x v="72"/>
    <n v="2.0099999999999998"/>
    <n v="9.9357390014829447E-2"/>
  </r>
  <r>
    <x v="0"/>
    <x v="0"/>
    <x v="3"/>
    <x v="1"/>
    <x v="1"/>
    <x v="73"/>
    <n v="2.0099999999999998"/>
    <n v="0.15777080062794346"/>
  </r>
  <r>
    <x v="1"/>
    <x v="0"/>
    <x v="3"/>
    <x v="1"/>
    <x v="1"/>
    <x v="74"/>
    <n v="2.02"/>
    <n v="0.13049095607235142"/>
  </r>
  <r>
    <x v="1"/>
    <x v="1"/>
    <x v="3"/>
    <x v="1"/>
    <x v="1"/>
    <x v="75"/>
    <n v="2.0299999999999998"/>
    <n v="0.12703379224030037"/>
  </r>
  <r>
    <x v="1"/>
    <x v="0"/>
    <x v="0"/>
    <x v="0"/>
    <x v="1"/>
    <x v="76"/>
    <n v="2.0299999999999998"/>
    <n v="8.3642356819118246E-2"/>
  </r>
  <r>
    <x v="1"/>
    <x v="1"/>
    <x v="2"/>
    <x v="0"/>
    <x v="2"/>
    <x v="77"/>
    <n v="2.0499999999999998"/>
    <n v="7.1803852889667244E-2"/>
  </r>
  <r>
    <x v="1"/>
    <x v="0"/>
    <x v="0"/>
    <x v="0"/>
    <x v="1"/>
    <x v="78"/>
    <n v="2.09"/>
    <n v="0.13924050632911392"/>
  </r>
  <r>
    <x v="1"/>
    <x v="1"/>
    <x v="3"/>
    <x v="1"/>
    <x v="2"/>
    <x v="79"/>
    <n v="2.1800000000000002"/>
    <n v="9.5530236634531113E-2"/>
  </r>
  <r>
    <x v="0"/>
    <x v="1"/>
    <x v="0"/>
    <x v="0"/>
    <x v="1"/>
    <x v="80"/>
    <n v="2.2000000000000002"/>
    <n v="0.14935505770536323"/>
  </r>
  <r>
    <x v="1"/>
    <x v="0"/>
    <x v="1"/>
    <x v="1"/>
    <x v="1"/>
    <x v="81"/>
    <n v="2.2000000000000002"/>
    <n v="0.18092105263157895"/>
  </r>
  <r>
    <x v="0"/>
    <x v="1"/>
    <x v="0"/>
    <x v="0"/>
    <x v="1"/>
    <x v="82"/>
    <n v="2.23"/>
    <n v="0.14140773620798985"/>
  </r>
  <r>
    <x v="0"/>
    <x v="0"/>
    <x v="0"/>
    <x v="0"/>
    <x v="1"/>
    <x v="83"/>
    <n v="2.23"/>
    <n v="0.17476489028213166"/>
  </r>
  <r>
    <x v="1"/>
    <x v="1"/>
    <x v="0"/>
    <x v="0"/>
    <x v="2"/>
    <x v="84"/>
    <n v="2.2400000000000002"/>
    <n v="0.13965087281795513"/>
  </r>
  <r>
    <x v="1"/>
    <x v="1"/>
    <x v="2"/>
    <x v="0"/>
    <x v="1"/>
    <x v="85"/>
    <n v="2.2400000000000002"/>
    <n v="0.10789980732177264"/>
  </r>
  <r>
    <x v="0"/>
    <x v="1"/>
    <x v="3"/>
    <x v="1"/>
    <x v="1"/>
    <x v="86"/>
    <n v="2.2999999999999998"/>
    <n v="0.13998782714546559"/>
  </r>
  <r>
    <x v="1"/>
    <x v="1"/>
    <x v="0"/>
    <x v="0"/>
    <x v="2"/>
    <x v="87"/>
    <n v="2.31"/>
    <n v="0.12359550561797752"/>
  </r>
  <r>
    <x v="1"/>
    <x v="1"/>
    <x v="3"/>
    <x v="1"/>
    <x v="1"/>
    <x v="88"/>
    <n v="2.31"/>
    <n v="0.19760479041916168"/>
  </r>
  <r>
    <x v="1"/>
    <x v="1"/>
    <x v="0"/>
    <x v="0"/>
    <x v="3"/>
    <x v="89"/>
    <n v="2.34"/>
    <n v="0.13138686131386862"/>
  </r>
  <r>
    <x v="0"/>
    <x v="1"/>
    <x v="0"/>
    <x v="0"/>
    <x v="3"/>
    <x v="90"/>
    <n v="2.4500000000000002"/>
    <n v="0.11841469308844853"/>
  </r>
  <r>
    <x v="0"/>
    <x v="1"/>
    <x v="0"/>
    <x v="0"/>
    <x v="1"/>
    <x v="91"/>
    <n v="2.4700000000000002"/>
    <n v="0.1501519756838906"/>
  </r>
  <r>
    <x v="1"/>
    <x v="1"/>
    <x v="0"/>
    <x v="0"/>
    <x v="3"/>
    <x v="92"/>
    <n v="2.5"/>
    <n v="0.13623978201634876"/>
  </r>
  <r>
    <x v="1"/>
    <x v="1"/>
    <x v="2"/>
    <x v="0"/>
    <x v="1"/>
    <x v="93"/>
    <n v="2.5"/>
    <n v="0.19936204146730463"/>
  </r>
  <r>
    <x v="0"/>
    <x v="0"/>
    <x v="1"/>
    <x v="0"/>
    <x v="1"/>
    <x v="94"/>
    <n v="2.5"/>
    <n v="0.22026431718061676"/>
  </r>
  <r>
    <x v="0"/>
    <x v="0"/>
    <x v="0"/>
    <x v="0"/>
    <x v="2"/>
    <x v="95"/>
    <n v="2.5"/>
    <n v="5.6433408577878111E-2"/>
  </r>
  <r>
    <x v="1"/>
    <x v="1"/>
    <x v="3"/>
    <x v="1"/>
    <x v="1"/>
    <x v="96"/>
    <n v="2.5"/>
    <n v="0.17531556802244039"/>
  </r>
  <r>
    <x v="1"/>
    <x v="1"/>
    <x v="2"/>
    <x v="0"/>
    <x v="1"/>
    <x v="97"/>
    <n v="2.5"/>
    <n v="0.17768301350390903"/>
  </r>
  <r>
    <x v="1"/>
    <x v="1"/>
    <x v="2"/>
    <x v="0"/>
    <x v="1"/>
    <x v="98"/>
    <n v="2.5"/>
    <n v="0.19747235387045814"/>
  </r>
  <r>
    <x v="0"/>
    <x v="0"/>
    <x v="3"/>
    <x v="1"/>
    <x v="1"/>
    <x v="99"/>
    <n v="2.5"/>
    <n v="0.15243902439024393"/>
  </r>
  <r>
    <x v="0"/>
    <x v="0"/>
    <x v="0"/>
    <x v="0"/>
    <x v="1"/>
    <x v="100"/>
    <n v="2.5"/>
    <n v="0.18839487565938207"/>
  </r>
  <r>
    <x v="0"/>
    <x v="0"/>
    <x v="1"/>
    <x v="1"/>
    <x v="1"/>
    <x v="101"/>
    <n v="2.5"/>
    <n v="0.15365703749231716"/>
  </r>
  <r>
    <x v="0"/>
    <x v="1"/>
    <x v="3"/>
    <x v="1"/>
    <x v="1"/>
    <x v="102"/>
    <n v="2.52"/>
    <n v="0.20192307692307693"/>
  </r>
  <r>
    <x v="1"/>
    <x v="1"/>
    <x v="2"/>
    <x v="0"/>
    <x v="1"/>
    <x v="103"/>
    <n v="2.54"/>
    <n v="0.14547537227949597"/>
  </r>
  <r>
    <x v="1"/>
    <x v="1"/>
    <x v="2"/>
    <x v="0"/>
    <x v="1"/>
    <x v="104"/>
    <n v="2.5499999999999998"/>
    <n v="0.10647181628392484"/>
  </r>
  <r>
    <x v="1"/>
    <x v="0"/>
    <x v="3"/>
    <x v="1"/>
    <x v="1"/>
    <x v="105"/>
    <n v="2.56"/>
    <n v="9.0014064697609003E-2"/>
  </r>
  <r>
    <x v="0"/>
    <x v="1"/>
    <x v="2"/>
    <x v="0"/>
    <x v="1"/>
    <x v="106"/>
    <n v="2.6"/>
    <n v="0.25267249757045679"/>
  </r>
  <r>
    <x v="0"/>
    <x v="1"/>
    <x v="2"/>
    <x v="0"/>
    <x v="1"/>
    <x v="107"/>
    <n v="2.61"/>
    <n v="0.19492158327109782"/>
  </r>
  <r>
    <x v="1"/>
    <x v="1"/>
    <x v="0"/>
    <x v="0"/>
    <x v="2"/>
    <x v="108"/>
    <n v="2.64"/>
    <n v="0.15008527572484368"/>
  </r>
  <r>
    <x v="1"/>
    <x v="1"/>
    <x v="3"/>
    <x v="1"/>
    <x v="1"/>
    <x v="109"/>
    <n v="2.71"/>
    <n v="0.15673799884326201"/>
  </r>
  <r>
    <x v="1"/>
    <x v="1"/>
    <x v="0"/>
    <x v="0"/>
    <x v="1"/>
    <x v="110"/>
    <n v="2.72"/>
    <n v="0.20481927710843376"/>
  </r>
  <r>
    <x v="1"/>
    <x v="1"/>
    <x v="2"/>
    <x v="0"/>
    <x v="2"/>
    <x v="111"/>
    <n v="2.74"/>
    <n v="0.15874855156431053"/>
  </r>
  <r>
    <x v="0"/>
    <x v="1"/>
    <x v="0"/>
    <x v="0"/>
    <x v="1"/>
    <x v="112"/>
    <n v="2.75"/>
    <n v="0.13553474618038444"/>
  </r>
  <r>
    <x v="0"/>
    <x v="1"/>
    <x v="3"/>
    <x v="1"/>
    <x v="1"/>
    <x v="113"/>
    <n v="2.75"/>
    <n v="0.20896656534954408"/>
  </r>
  <r>
    <x v="0"/>
    <x v="1"/>
    <x v="3"/>
    <x v="1"/>
    <x v="1"/>
    <x v="114"/>
    <n v="2.83"/>
    <n v="0.13961519486926494"/>
  </r>
  <r>
    <x v="0"/>
    <x v="0"/>
    <x v="0"/>
    <x v="0"/>
    <x v="1"/>
    <x v="115"/>
    <n v="2.88"/>
    <n v="0.13019891500904157"/>
  </r>
  <r>
    <x v="0"/>
    <x v="1"/>
    <x v="3"/>
    <x v="1"/>
    <x v="3"/>
    <x v="116"/>
    <n v="2.92"/>
    <n v="0.1212624584717608"/>
  </r>
  <r>
    <x v="1"/>
    <x v="1"/>
    <x v="2"/>
    <x v="0"/>
    <x v="3"/>
    <x v="117"/>
    <n v="3"/>
    <n v="0.16277807921866522"/>
  </r>
  <r>
    <x v="0"/>
    <x v="1"/>
    <x v="0"/>
    <x v="0"/>
    <x v="1"/>
    <x v="118"/>
    <n v="3"/>
    <n v="0.15267175572519084"/>
  </r>
  <r>
    <x v="0"/>
    <x v="1"/>
    <x v="0"/>
    <x v="0"/>
    <x v="1"/>
    <x v="119"/>
    <n v="3"/>
    <n v="0.19920318725099601"/>
  </r>
  <r>
    <x v="1"/>
    <x v="1"/>
    <x v="2"/>
    <x v="0"/>
    <x v="1"/>
    <x v="120"/>
    <n v="3"/>
    <n v="0.16402405686167304"/>
  </r>
  <r>
    <x v="1"/>
    <x v="1"/>
    <x v="2"/>
    <x v="0"/>
    <x v="1"/>
    <x v="121"/>
    <n v="3"/>
    <n v="0.16629711751662973"/>
  </r>
  <r>
    <x v="1"/>
    <x v="0"/>
    <x v="0"/>
    <x v="0"/>
    <x v="3"/>
    <x v="122"/>
    <n v="3"/>
    <n v="7.8926598263614839E-2"/>
  </r>
  <r>
    <x v="0"/>
    <x v="1"/>
    <x v="0"/>
    <x v="0"/>
    <x v="2"/>
    <x v="123"/>
    <n v="3"/>
    <n v="0.1757469244288225"/>
  </r>
  <r>
    <x v="1"/>
    <x v="1"/>
    <x v="3"/>
    <x v="1"/>
    <x v="1"/>
    <x v="124"/>
    <n v="3"/>
    <n v="0.13181019332161686"/>
  </r>
  <r>
    <x v="1"/>
    <x v="0"/>
    <x v="3"/>
    <x v="1"/>
    <x v="1"/>
    <x v="125"/>
    <n v="3"/>
    <n v="0.15432098765432098"/>
  </r>
  <r>
    <x v="1"/>
    <x v="1"/>
    <x v="3"/>
    <x v="1"/>
    <x v="1"/>
    <x v="126"/>
    <n v="3"/>
    <n v="0.14177693761814744"/>
  </r>
  <r>
    <x v="1"/>
    <x v="0"/>
    <x v="1"/>
    <x v="0"/>
    <x v="1"/>
    <x v="127"/>
    <n v="3"/>
    <n v="0.10355540214014498"/>
  </r>
  <r>
    <x v="1"/>
    <x v="0"/>
    <x v="1"/>
    <x v="0"/>
    <x v="1"/>
    <x v="128"/>
    <n v="3"/>
    <n v="0.1427891480247501"/>
  </r>
  <r>
    <x v="0"/>
    <x v="0"/>
    <x v="1"/>
    <x v="0"/>
    <x v="1"/>
    <x v="129"/>
    <n v="3"/>
    <n v="0.19505851755526657"/>
  </r>
  <r>
    <x v="1"/>
    <x v="1"/>
    <x v="0"/>
    <x v="0"/>
    <x v="1"/>
    <x v="130"/>
    <n v="3"/>
    <n v="0.21428571428571427"/>
  </r>
  <r>
    <x v="0"/>
    <x v="0"/>
    <x v="2"/>
    <x v="0"/>
    <x v="1"/>
    <x v="131"/>
    <n v="3"/>
    <n v="0.17133066818960593"/>
  </r>
  <r>
    <x v="1"/>
    <x v="0"/>
    <x v="2"/>
    <x v="0"/>
    <x v="1"/>
    <x v="132"/>
    <n v="3"/>
    <n v="7.3982737361282372E-2"/>
  </r>
  <r>
    <x v="1"/>
    <x v="0"/>
    <x v="0"/>
    <x v="0"/>
    <x v="3"/>
    <x v="133"/>
    <n v="3"/>
    <n v="7.7459333849728904E-2"/>
  </r>
  <r>
    <x v="1"/>
    <x v="0"/>
    <x v="0"/>
    <x v="0"/>
    <x v="4"/>
    <x v="134"/>
    <n v="3"/>
    <n v="0.10657193605683837"/>
  </r>
  <r>
    <x v="0"/>
    <x v="1"/>
    <x v="1"/>
    <x v="1"/>
    <x v="2"/>
    <x v="75"/>
    <n v="3"/>
    <n v="0.18773466833541927"/>
  </r>
  <r>
    <x v="1"/>
    <x v="1"/>
    <x v="0"/>
    <x v="0"/>
    <x v="3"/>
    <x v="135"/>
    <n v="3"/>
    <n v="0.14669926650366749"/>
  </r>
  <r>
    <x v="1"/>
    <x v="0"/>
    <x v="0"/>
    <x v="0"/>
    <x v="2"/>
    <x v="24"/>
    <n v="3"/>
    <n v="0.19120458891013384"/>
  </r>
  <r>
    <x v="1"/>
    <x v="0"/>
    <x v="0"/>
    <x v="0"/>
    <x v="1"/>
    <x v="136"/>
    <n v="3"/>
    <n v="0.19317450096587252"/>
  </r>
  <r>
    <x v="0"/>
    <x v="1"/>
    <x v="3"/>
    <x v="0"/>
    <x v="1"/>
    <x v="137"/>
    <n v="3"/>
    <n v="0.15974440894568689"/>
  </r>
  <r>
    <x v="0"/>
    <x v="1"/>
    <x v="2"/>
    <x v="0"/>
    <x v="1"/>
    <x v="138"/>
    <n v="3.02"/>
    <n v="0.20364126770060686"/>
  </r>
  <r>
    <x v="1"/>
    <x v="1"/>
    <x v="2"/>
    <x v="0"/>
    <x v="1"/>
    <x v="139"/>
    <n v="3.06"/>
    <n v="0.21951219512195122"/>
  </r>
  <r>
    <x v="0"/>
    <x v="1"/>
    <x v="0"/>
    <x v="0"/>
    <x v="2"/>
    <x v="140"/>
    <n v="3.07"/>
    <n v="0.1813349084465446"/>
  </r>
  <r>
    <x v="1"/>
    <x v="0"/>
    <x v="0"/>
    <x v="0"/>
    <x v="1"/>
    <x v="141"/>
    <n v="3.08"/>
    <n v="0.171875"/>
  </r>
  <r>
    <x v="0"/>
    <x v="0"/>
    <x v="0"/>
    <x v="0"/>
    <x v="3"/>
    <x v="142"/>
    <n v="3.09"/>
    <n v="0.10252156602521566"/>
  </r>
  <r>
    <x v="1"/>
    <x v="0"/>
    <x v="2"/>
    <x v="0"/>
    <x v="1"/>
    <x v="143"/>
    <n v="3.11"/>
    <n v="9.4528875379939203E-2"/>
  </r>
  <r>
    <x v="1"/>
    <x v="1"/>
    <x v="2"/>
    <x v="0"/>
    <x v="3"/>
    <x v="144"/>
    <n v="3.12"/>
    <n v="0.11607142857142858"/>
  </r>
  <r>
    <x v="0"/>
    <x v="0"/>
    <x v="0"/>
    <x v="0"/>
    <x v="1"/>
    <x v="145"/>
    <n v="3.14"/>
    <n v="0.11690245718540582"/>
  </r>
  <r>
    <x v="1"/>
    <x v="1"/>
    <x v="0"/>
    <x v="0"/>
    <x v="2"/>
    <x v="146"/>
    <n v="3.15"/>
    <n v="0.15687250996015936"/>
  </r>
  <r>
    <x v="1"/>
    <x v="0"/>
    <x v="0"/>
    <x v="0"/>
    <x v="1"/>
    <x v="147"/>
    <n v="3.16"/>
    <n v="0.19987349778621127"/>
  </r>
  <r>
    <x v="1"/>
    <x v="1"/>
    <x v="0"/>
    <x v="0"/>
    <x v="1"/>
    <x v="148"/>
    <n v="3.18"/>
    <n v="0.16044399596367306"/>
  </r>
  <r>
    <x v="1"/>
    <x v="0"/>
    <x v="2"/>
    <x v="0"/>
    <x v="1"/>
    <x v="149"/>
    <n v="3.18"/>
    <n v="9.9843014128728411E-2"/>
  </r>
  <r>
    <x v="1"/>
    <x v="0"/>
    <x v="0"/>
    <x v="0"/>
    <x v="1"/>
    <x v="112"/>
    <n v="3.21"/>
    <n v="0.15820601281419419"/>
  </r>
  <r>
    <x v="1"/>
    <x v="1"/>
    <x v="2"/>
    <x v="0"/>
    <x v="1"/>
    <x v="150"/>
    <n v="3.23"/>
    <n v="0.21853856562922869"/>
  </r>
  <r>
    <x v="0"/>
    <x v="0"/>
    <x v="3"/>
    <x v="1"/>
    <x v="2"/>
    <x v="151"/>
    <n v="3.23"/>
    <n v="0.19611414693381907"/>
  </r>
  <r>
    <x v="0"/>
    <x v="1"/>
    <x v="1"/>
    <x v="0"/>
    <x v="1"/>
    <x v="152"/>
    <n v="3.25"/>
    <n v="0.14285714285714285"/>
  </r>
  <r>
    <x v="0"/>
    <x v="1"/>
    <x v="3"/>
    <x v="1"/>
    <x v="1"/>
    <x v="153"/>
    <n v="3.25"/>
    <n v="0.17798466593647316"/>
  </r>
  <r>
    <x v="1"/>
    <x v="1"/>
    <x v="0"/>
    <x v="0"/>
    <x v="1"/>
    <x v="154"/>
    <n v="3.27"/>
    <n v="0.18391451068616421"/>
  </r>
  <r>
    <x v="1"/>
    <x v="1"/>
    <x v="2"/>
    <x v="0"/>
    <x v="1"/>
    <x v="155"/>
    <n v="3.31"/>
    <n v="0.1397804054054054"/>
  </r>
  <r>
    <x v="1"/>
    <x v="1"/>
    <x v="0"/>
    <x v="0"/>
    <x v="2"/>
    <x v="156"/>
    <n v="3.35"/>
    <n v="0.16222760290556903"/>
  </r>
  <r>
    <x v="1"/>
    <x v="1"/>
    <x v="0"/>
    <x v="0"/>
    <x v="1"/>
    <x v="157"/>
    <n v="3.39"/>
    <n v="0.29198966408268734"/>
  </r>
  <r>
    <x v="1"/>
    <x v="1"/>
    <x v="3"/>
    <x v="1"/>
    <x v="1"/>
    <x v="158"/>
    <n v="3.4"/>
    <n v="0.20408163265306123"/>
  </r>
  <r>
    <x v="1"/>
    <x v="0"/>
    <x v="0"/>
    <x v="0"/>
    <x v="2"/>
    <x v="159"/>
    <n v="3.41"/>
    <n v="0.1282437006393381"/>
  </r>
  <r>
    <x v="0"/>
    <x v="0"/>
    <x v="0"/>
    <x v="0"/>
    <x v="1"/>
    <x v="160"/>
    <n v="3.48"/>
    <n v="0.15521855486173058"/>
  </r>
  <r>
    <x v="1"/>
    <x v="1"/>
    <x v="2"/>
    <x v="0"/>
    <x v="2"/>
    <x v="161"/>
    <n v="3.48"/>
    <n v="0.14192495921696574"/>
  </r>
  <r>
    <x v="0"/>
    <x v="0"/>
    <x v="1"/>
    <x v="1"/>
    <x v="1"/>
    <x v="28"/>
    <n v="3.48"/>
    <n v="0.25931445603576753"/>
  </r>
  <r>
    <x v="1"/>
    <x v="1"/>
    <x v="2"/>
    <x v="0"/>
    <x v="2"/>
    <x v="128"/>
    <n v="3.5"/>
    <n v="0.16658733936220846"/>
  </r>
  <r>
    <x v="0"/>
    <x v="1"/>
    <x v="2"/>
    <x v="0"/>
    <x v="2"/>
    <x v="162"/>
    <n v="3.5"/>
    <n v="0.20624631703005306"/>
  </r>
  <r>
    <x v="1"/>
    <x v="1"/>
    <x v="1"/>
    <x v="0"/>
    <x v="1"/>
    <x v="163"/>
    <n v="3.5"/>
    <n v="0.15562472209871056"/>
  </r>
  <r>
    <x v="0"/>
    <x v="1"/>
    <x v="2"/>
    <x v="0"/>
    <x v="1"/>
    <x v="164"/>
    <n v="3.5"/>
    <n v="0.20219526285384173"/>
  </r>
  <r>
    <x v="0"/>
    <x v="1"/>
    <x v="3"/>
    <x v="1"/>
    <x v="1"/>
    <x v="165"/>
    <n v="3.5"/>
    <n v="0.20034344590726963"/>
  </r>
  <r>
    <x v="1"/>
    <x v="1"/>
    <x v="2"/>
    <x v="0"/>
    <x v="3"/>
    <x v="166"/>
    <n v="3.5"/>
    <n v="0.16279069767441862"/>
  </r>
  <r>
    <x v="1"/>
    <x v="0"/>
    <x v="2"/>
    <x v="0"/>
    <x v="2"/>
    <x v="167"/>
    <n v="3.5"/>
    <n v="7.7177508269018744E-2"/>
  </r>
  <r>
    <x v="0"/>
    <x v="0"/>
    <x v="2"/>
    <x v="0"/>
    <x v="2"/>
    <x v="168"/>
    <n v="3.5"/>
    <n v="0.1674641148325359"/>
  </r>
  <r>
    <x v="0"/>
    <x v="0"/>
    <x v="2"/>
    <x v="0"/>
    <x v="2"/>
    <x v="169"/>
    <n v="3.5"/>
    <n v="0.1928374655647383"/>
  </r>
  <r>
    <x v="1"/>
    <x v="1"/>
    <x v="2"/>
    <x v="0"/>
    <x v="1"/>
    <x v="170"/>
    <n v="3.51"/>
    <n v="0.18009235505387378"/>
  </r>
  <r>
    <x v="1"/>
    <x v="0"/>
    <x v="2"/>
    <x v="0"/>
    <x v="1"/>
    <x v="171"/>
    <n v="3.55"/>
    <n v="0.102512272596015"/>
  </r>
  <r>
    <x v="1"/>
    <x v="1"/>
    <x v="0"/>
    <x v="0"/>
    <x v="2"/>
    <x v="172"/>
    <n v="3.6"/>
    <n v="0.14962593516209477"/>
  </r>
  <r>
    <x v="0"/>
    <x v="1"/>
    <x v="2"/>
    <x v="0"/>
    <x v="3"/>
    <x v="173"/>
    <n v="3.61"/>
    <n v="0.14680764538430255"/>
  </r>
  <r>
    <x v="1"/>
    <x v="0"/>
    <x v="2"/>
    <x v="0"/>
    <x v="3"/>
    <x v="174"/>
    <n v="3.68"/>
    <n v="0.10620490620490622"/>
  </r>
  <r>
    <x v="1"/>
    <x v="1"/>
    <x v="2"/>
    <x v="0"/>
    <x v="2"/>
    <x v="175"/>
    <n v="3.71"/>
    <n v="0.22774708410067526"/>
  </r>
  <r>
    <x v="0"/>
    <x v="1"/>
    <x v="2"/>
    <x v="0"/>
    <x v="3"/>
    <x v="176"/>
    <n v="3.75"/>
    <n v="0.15"/>
  </r>
  <r>
    <x v="1"/>
    <x v="0"/>
    <x v="0"/>
    <x v="0"/>
    <x v="3"/>
    <x v="120"/>
    <n v="3.76"/>
    <n v="0.20557681793329688"/>
  </r>
  <r>
    <x v="1"/>
    <x v="1"/>
    <x v="0"/>
    <x v="0"/>
    <x v="1"/>
    <x v="177"/>
    <n v="3.76"/>
    <n v="0.20614035087719298"/>
  </r>
  <r>
    <x v="1"/>
    <x v="1"/>
    <x v="2"/>
    <x v="0"/>
    <x v="1"/>
    <x v="178"/>
    <n v="3.92"/>
    <n v="0.18164967562557924"/>
  </r>
  <r>
    <x v="1"/>
    <x v="1"/>
    <x v="3"/>
    <x v="1"/>
    <x v="3"/>
    <x v="179"/>
    <n v="4"/>
    <n v="0.14705882352941177"/>
  </r>
  <r>
    <x v="1"/>
    <x v="1"/>
    <x v="3"/>
    <x v="1"/>
    <x v="1"/>
    <x v="180"/>
    <n v="4"/>
    <n v="0.21881838074398249"/>
  </r>
  <r>
    <x v="1"/>
    <x v="0"/>
    <x v="1"/>
    <x v="0"/>
    <x v="1"/>
    <x v="181"/>
    <n v="4"/>
    <n v="0.14662756598240467"/>
  </r>
  <r>
    <x v="0"/>
    <x v="0"/>
    <x v="0"/>
    <x v="0"/>
    <x v="1"/>
    <x v="182"/>
    <n v="4"/>
    <n v="0.27952480782669459"/>
  </r>
  <r>
    <x v="1"/>
    <x v="1"/>
    <x v="2"/>
    <x v="0"/>
    <x v="2"/>
    <x v="183"/>
    <n v="4"/>
    <n v="0.10506960861570791"/>
  </r>
  <r>
    <x v="0"/>
    <x v="1"/>
    <x v="2"/>
    <x v="0"/>
    <x v="2"/>
    <x v="184"/>
    <n v="4"/>
    <n v="0.15558148580318942"/>
  </r>
  <r>
    <x v="1"/>
    <x v="0"/>
    <x v="2"/>
    <x v="0"/>
    <x v="1"/>
    <x v="185"/>
    <n v="4"/>
    <n v="0.23781212841854935"/>
  </r>
  <r>
    <x v="0"/>
    <x v="0"/>
    <x v="2"/>
    <x v="0"/>
    <x v="1"/>
    <x v="186"/>
    <n v="4"/>
    <n v="0.41666666666666669"/>
  </r>
  <r>
    <x v="1"/>
    <x v="0"/>
    <x v="2"/>
    <x v="0"/>
    <x v="2"/>
    <x v="187"/>
    <n v="4"/>
    <n v="0.17316017316017315"/>
  </r>
  <r>
    <x v="1"/>
    <x v="0"/>
    <x v="3"/>
    <x v="1"/>
    <x v="1"/>
    <x v="188"/>
    <n v="4"/>
    <n v="0.24125452352231608"/>
  </r>
  <r>
    <x v="1"/>
    <x v="0"/>
    <x v="3"/>
    <x v="1"/>
    <x v="2"/>
    <x v="189"/>
    <n v="4"/>
    <n v="0.2137894174238375"/>
  </r>
  <r>
    <x v="1"/>
    <x v="0"/>
    <x v="3"/>
    <x v="1"/>
    <x v="3"/>
    <x v="190"/>
    <n v="4"/>
    <n v="0.19483682415976619"/>
  </r>
  <r>
    <x v="1"/>
    <x v="0"/>
    <x v="0"/>
    <x v="0"/>
    <x v="1"/>
    <x v="191"/>
    <n v="4.0599999999999996"/>
    <n v="0.19814543679843827"/>
  </r>
  <r>
    <x v="1"/>
    <x v="1"/>
    <x v="0"/>
    <x v="0"/>
    <x v="1"/>
    <x v="141"/>
    <n v="4.08"/>
    <n v="0.22767857142857142"/>
  </r>
  <r>
    <x v="0"/>
    <x v="1"/>
    <x v="0"/>
    <x v="0"/>
    <x v="1"/>
    <x v="192"/>
    <n v="4.08"/>
    <n v="0.19502868068833651"/>
  </r>
  <r>
    <x v="0"/>
    <x v="0"/>
    <x v="3"/>
    <x v="1"/>
    <x v="1"/>
    <x v="193"/>
    <n v="4.1900000000000004"/>
    <n v="0.21150933871781932"/>
  </r>
  <r>
    <x v="0"/>
    <x v="1"/>
    <x v="3"/>
    <x v="1"/>
    <x v="5"/>
    <x v="194"/>
    <n v="4.2"/>
    <n v="0.14093959731543623"/>
  </r>
  <r>
    <x v="1"/>
    <x v="0"/>
    <x v="0"/>
    <x v="0"/>
    <x v="1"/>
    <x v="195"/>
    <n v="4.29"/>
    <n v="0.17017056723522411"/>
  </r>
  <r>
    <x v="1"/>
    <x v="1"/>
    <x v="0"/>
    <x v="0"/>
    <x v="1"/>
    <x v="196"/>
    <n v="4.3"/>
    <n v="0.19815668202764977"/>
  </r>
  <r>
    <x v="0"/>
    <x v="0"/>
    <x v="1"/>
    <x v="0"/>
    <x v="1"/>
    <x v="197"/>
    <n v="4.3"/>
    <n v="0.26348039215686275"/>
  </r>
  <r>
    <x v="1"/>
    <x v="1"/>
    <x v="2"/>
    <x v="0"/>
    <x v="3"/>
    <x v="198"/>
    <n v="4.34"/>
    <n v="0.16979655712050079"/>
  </r>
  <r>
    <x v="1"/>
    <x v="1"/>
    <x v="2"/>
    <x v="0"/>
    <x v="3"/>
    <x v="199"/>
    <n v="4.5"/>
    <n v="0.14191106906338694"/>
  </r>
  <r>
    <x v="0"/>
    <x v="1"/>
    <x v="0"/>
    <x v="0"/>
    <x v="2"/>
    <x v="200"/>
    <n v="4.67"/>
    <n v="0.13033770583310075"/>
  </r>
  <r>
    <x v="1"/>
    <x v="1"/>
    <x v="2"/>
    <x v="0"/>
    <x v="3"/>
    <x v="201"/>
    <n v="4.71"/>
    <n v="0.18623962040332148"/>
  </r>
  <r>
    <x v="1"/>
    <x v="0"/>
    <x v="1"/>
    <x v="0"/>
    <x v="3"/>
    <x v="202"/>
    <n v="4.7300000000000004"/>
    <n v="0.1177495643515061"/>
  </r>
  <r>
    <x v="0"/>
    <x v="1"/>
    <x v="2"/>
    <x v="0"/>
    <x v="3"/>
    <x v="203"/>
    <n v="5"/>
    <n v="0.14180374361883155"/>
  </r>
  <r>
    <x v="1"/>
    <x v="1"/>
    <x v="0"/>
    <x v="0"/>
    <x v="2"/>
    <x v="204"/>
    <n v="5"/>
    <n v="0.1598976654940838"/>
  </r>
  <r>
    <x v="1"/>
    <x v="1"/>
    <x v="2"/>
    <x v="0"/>
    <x v="1"/>
    <x v="205"/>
    <n v="5"/>
    <n v="0.22492127755285649"/>
  </r>
  <r>
    <x v="0"/>
    <x v="0"/>
    <x v="0"/>
    <x v="0"/>
    <x v="1"/>
    <x v="206"/>
    <n v="5"/>
    <n v="0.19778481012658228"/>
  </r>
  <r>
    <x v="1"/>
    <x v="0"/>
    <x v="3"/>
    <x v="1"/>
    <x v="1"/>
    <x v="207"/>
    <n v="5"/>
    <n v="0.15299877600979192"/>
  </r>
  <r>
    <x v="1"/>
    <x v="1"/>
    <x v="3"/>
    <x v="1"/>
    <x v="4"/>
    <x v="208"/>
    <n v="5"/>
    <n v="0.12138868657441128"/>
  </r>
  <r>
    <x v="0"/>
    <x v="1"/>
    <x v="3"/>
    <x v="1"/>
    <x v="5"/>
    <x v="209"/>
    <n v="5"/>
    <n v="0.18484288354898337"/>
  </r>
  <r>
    <x v="1"/>
    <x v="1"/>
    <x v="2"/>
    <x v="0"/>
    <x v="5"/>
    <x v="210"/>
    <n v="5"/>
    <n v="0.10379904504878555"/>
  </r>
  <r>
    <x v="1"/>
    <x v="1"/>
    <x v="2"/>
    <x v="0"/>
    <x v="4"/>
    <x v="90"/>
    <n v="5"/>
    <n v="0.24166263895601739"/>
  </r>
  <r>
    <x v="0"/>
    <x v="0"/>
    <x v="3"/>
    <x v="1"/>
    <x v="3"/>
    <x v="211"/>
    <n v="5"/>
    <n v="0.11598237067965669"/>
  </r>
  <r>
    <x v="1"/>
    <x v="1"/>
    <x v="2"/>
    <x v="0"/>
    <x v="3"/>
    <x v="212"/>
    <n v="5.07"/>
    <n v="0.1693952555963916"/>
  </r>
  <r>
    <x v="0"/>
    <x v="1"/>
    <x v="2"/>
    <x v="0"/>
    <x v="4"/>
    <x v="213"/>
    <n v="5.14"/>
    <n v="0.17219430485762141"/>
  </r>
  <r>
    <x v="1"/>
    <x v="0"/>
    <x v="2"/>
    <x v="0"/>
    <x v="1"/>
    <x v="2"/>
    <n v="5.15"/>
    <n v="0.71034482758620698"/>
  </r>
  <r>
    <x v="1"/>
    <x v="0"/>
    <x v="0"/>
    <x v="0"/>
    <x v="3"/>
    <x v="214"/>
    <n v="5.16"/>
    <n v="0.19930475086906141"/>
  </r>
  <r>
    <x v="0"/>
    <x v="1"/>
    <x v="3"/>
    <x v="1"/>
    <x v="3"/>
    <x v="215"/>
    <n v="5.17"/>
    <n v="0.14843525696238874"/>
  </r>
  <r>
    <x v="0"/>
    <x v="1"/>
    <x v="2"/>
    <x v="0"/>
    <x v="3"/>
    <x v="216"/>
    <n v="5.2"/>
    <n v="0.14938236139040506"/>
  </r>
  <r>
    <x v="1"/>
    <x v="1"/>
    <x v="2"/>
    <x v="0"/>
    <x v="3"/>
    <x v="217"/>
    <n v="5.6"/>
    <n v="0.18421052631578946"/>
  </r>
  <r>
    <x v="1"/>
    <x v="0"/>
    <x v="2"/>
    <x v="0"/>
    <x v="1"/>
    <x v="218"/>
    <n v="5.65"/>
    <n v="0.24217745392198889"/>
  </r>
  <r>
    <x v="1"/>
    <x v="1"/>
    <x v="3"/>
    <x v="1"/>
    <x v="1"/>
    <x v="219"/>
    <n v="5.85"/>
    <n v="0.23674625657628487"/>
  </r>
  <r>
    <x v="1"/>
    <x v="1"/>
    <x v="0"/>
    <x v="0"/>
    <x v="2"/>
    <x v="220"/>
    <n v="5.92"/>
    <n v="0.20392697209782981"/>
  </r>
  <r>
    <x v="1"/>
    <x v="1"/>
    <x v="2"/>
    <x v="0"/>
    <x v="3"/>
    <x v="221"/>
    <n v="6"/>
    <n v="0.1851851851851852"/>
  </r>
  <r>
    <x v="1"/>
    <x v="0"/>
    <x v="2"/>
    <x v="0"/>
    <x v="3"/>
    <x v="222"/>
    <n v="6.5"/>
    <n v="0.28053517479499351"/>
  </r>
  <r>
    <x v="0"/>
    <x v="0"/>
    <x v="0"/>
    <x v="0"/>
    <x v="2"/>
    <x v="223"/>
    <n v="6.5"/>
    <n v="0.23074192403265883"/>
  </r>
  <r>
    <x v="1"/>
    <x v="1"/>
    <x v="3"/>
    <x v="1"/>
    <x v="5"/>
    <x v="224"/>
    <n v="6.7"/>
    <n v="0.19533527696793004"/>
  </r>
  <r>
    <x v="1"/>
    <x v="1"/>
    <x v="0"/>
    <x v="0"/>
    <x v="3"/>
    <x v="225"/>
    <n v="6.73"/>
    <n v="0.13942407292314066"/>
  </r>
  <r>
    <x v="1"/>
    <x v="1"/>
    <x v="0"/>
    <x v="0"/>
    <x v="3"/>
    <x v="226"/>
    <n v="7.58"/>
    <n v="0.19228817858954844"/>
  </r>
  <r>
    <x v="1"/>
    <x v="1"/>
    <x v="0"/>
    <x v="0"/>
    <x v="3"/>
    <x v="227"/>
    <n v="9"/>
    <n v="0.18621973929236499"/>
  </r>
  <r>
    <x v="1"/>
    <x v="0"/>
    <x v="0"/>
    <x v="0"/>
    <x v="2"/>
    <x v="228"/>
    <n v="10"/>
    <n v="0.19681165124975397"/>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770D7C-277E-C846-ACB6-FFF331E2833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3:D6" firstHeaderRow="0" firstDataRow="1" firstDataCol="1"/>
  <pivotFields count="8">
    <pivotField axis="axisRow" showAll="0">
      <items count="3">
        <item x="0"/>
        <item x="1"/>
        <item t="default"/>
      </items>
    </pivotField>
    <pivotField showAll="0">
      <items count="3">
        <item x="1"/>
        <item x="0"/>
        <item t="default"/>
      </items>
    </pivotField>
    <pivotField showAll="0">
      <items count="5">
        <item x="3"/>
        <item x="1"/>
        <item x="0"/>
        <item x="2"/>
        <item t="default"/>
      </items>
    </pivotField>
    <pivotField showAll="0">
      <items count="3">
        <item x="0"/>
        <item x="1"/>
        <item t="default"/>
      </items>
    </pivotField>
    <pivotField dataField="1" showAll="0">
      <items count="7">
        <item x="0"/>
        <item x="1"/>
        <item x="2"/>
        <item x="3"/>
        <item x="4"/>
        <item x="5"/>
        <item t="default"/>
      </items>
    </pivotField>
    <pivotField dataField="1" showAll="0"/>
    <pivotField showAll="0"/>
    <pivotField dataField="1" numFmtId="10" showAll="0"/>
  </pivotFields>
  <rowFields count="1">
    <field x="0"/>
  </rowFields>
  <rowItems count="3">
    <i>
      <x/>
    </i>
    <i>
      <x v="1"/>
    </i>
    <i t="grand">
      <x/>
    </i>
  </rowItems>
  <colFields count="1">
    <field x="-2"/>
  </colFields>
  <colItems count="3">
    <i>
      <x/>
    </i>
    <i i="1">
      <x v="1"/>
    </i>
    <i i="2">
      <x v="2"/>
    </i>
  </colItems>
  <dataFields count="3">
    <dataField name="Sum of size" fld="4" baseField="0" baseItem="0"/>
    <dataField name="Sum of total_bill" fld="5" baseField="0" baseItem="0"/>
    <dataField name="Average of tip %" fld="7" subtotal="average"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DD2DCD5-A07E-6C43-8DC9-981158E8512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A32:AD39" firstHeaderRow="0" firstDataRow="1" firstDataCol="1"/>
  <pivotFields count="8">
    <pivotField showAll="0">
      <items count="3">
        <item x="0"/>
        <item x="1"/>
        <item t="default"/>
      </items>
    </pivotField>
    <pivotField showAll="0">
      <items count="3">
        <item x="1"/>
        <item x="0"/>
        <item t="default"/>
      </items>
    </pivotField>
    <pivotField showAll="0">
      <items count="5">
        <item x="3"/>
        <item x="1"/>
        <item x="0"/>
        <item x="2"/>
        <item t="default"/>
      </items>
    </pivotField>
    <pivotField showAll="0">
      <items count="3">
        <item x="0"/>
        <item x="1"/>
        <item t="default"/>
      </items>
    </pivotField>
    <pivotField axis="axisRow" showAll="0">
      <items count="7">
        <item x="0"/>
        <item x="1"/>
        <item x="2"/>
        <item x="3"/>
        <item x="4"/>
        <item x="5"/>
        <item t="default"/>
      </items>
    </pivotField>
    <pivotField dataField="1" showAll="0"/>
    <pivotField dataField="1" showAll="0"/>
    <pivotField dataField="1" numFmtId="10" showAll="0"/>
  </pivotFields>
  <rowFields count="1">
    <field x="4"/>
  </rowFields>
  <rowItems count="7">
    <i>
      <x/>
    </i>
    <i>
      <x v="1"/>
    </i>
    <i>
      <x v="2"/>
    </i>
    <i>
      <x v="3"/>
    </i>
    <i>
      <x v="4"/>
    </i>
    <i>
      <x v="5"/>
    </i>
    <i t="grand">
      <x/>
    </i>
  </rowItems>
  <colFields count="1">
    <field x="-2"/>
  </colFields>
  <colItems count="3">
    <i>
      <x/>
    </i>
    <i i="1">
      <x v="1"/>
    </i>
    <i i="2">
      <x v="2"/>
    </i>
  </colItems>
  <dataFields count="3">
    <dataField name="Average of total_bill" fld="5" subtotal="average" baseField="0" baseItem="0"/>
    <dataField name="Average of tip" fld="6" subtotal="average" baseField="0" baseItem="0"/>
    <dataField name="Average of tip %" fld="7" subtotal="average" baseField="0" baseItem="0" numFmtId="10"/>
  </dataFields>
  <formats count="7">
    <format dxfId="6">
      <pivotArea type="all" dataOnly="0" outline="0" fieldPosition="0"/>
    </format>
    <format dxfId="5">
      <pivotArea outline="0" collapsedLevelsAreSubtotals="1" fieldPosition="0"/>
    </format>
    <format dxfId="4">
      <pivotArea field="4" type="button" dataOnly="0" labelOnly="1" outline="0" axis="axisRow" fieldPosition="0"/>
    </format>
    <format dxfId="3">
      <pivotArea dataOnly="0" labelOnly="1" fieldPosition="0">
        <references count="1">
          <reference field="4" count="0"/>
        </references>
      </pivotArea>
    </format>
    <format dxfId="2">
      <pivotArea dataOnly="0" labelOnly="1" grandRow="1" outline="0" fieldPosition="0"/>
    </format>
    <format dxfId="1">
      <pivotArea dataOnly="0" labelOnly="1" outline="0" fieldPosition="0">
        <references count="1">
          <reference field="4294967294" count="3">
            <x v="0"/>
            <x v="1"/>
            <x v="2"/>
          </reference>
        </references>
      </pivotArea>
    </format>
    <format dxfId="0">
      <pivotArea outline="0" collapsedLevelsAreSubtotals="1" fieldPosition="0">
        <references count="1">
          <reference field="4294967294" count="1" selected="0">
            <x v="2"/>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BAA0B4B-D025-2645-85A1-9A7EF4D4A05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W26:Y29" firstHeaderRow="0" firstDataRow="1" firstDataCol="1"/>
  <pivotFields count="8">
    <pivotField axis="axisRow" showAll="0">
      <items count="3">
        <item x="0"/>
        <item x="1"/>
        <item t="default"/>
      </items>
    </pivotField>
    <pivotField showAll="0">
      <items count="3">
        <item x="1"/>
        <item x="0"/>
        <item t="default"/>
      </items>
    </pivotField>
    <pivotField showAll="0">
      <items count="5">
        <item x="3"/>
        <item x="1"/>
        <item x="0"/>
        <item x="2"/>
        <item t="default"/>
      </items>
    </pivotField>
    <pivotField showAll="0">
      <items count="3">
        <item x="0"/>
        <item x="1"/>
        <item t="default"/>
      </items>
    </pivotField>
    <pivotField showAll="0">
      <items count="7">
        <item x="0"/>
        <item x="1"/>
        <item x="2"/>
        <item x="3"/>
        <item x="4"/>
        <item x="5"/>
        <item t="default"/>
      </items>
    </pivotField>
    <pivotField showAll="0"/>
    <pivotField dataField="1" showAll="0"/>
    <pivotField dataField="1" numFmtId="10" showAll="0"/>
  </pivotFields>
  <rowFields count="1">
    <field x="0"/>
  </rowFields>
  <rowItems count="3">
    <i>
      <x/>
    </i>
    <i>
      <x v="1"/>
    </i>
    <i t="grand">
      <x/>
    </i>
  </rowItems>
  <colFields count="1">
    <field x="-2"/>
  </colFields>
  <colItems count="2">
    <i>
      <x/>
    </i>
    <i i="1">
      <x v="1"/>
    </i>
  </colItems>
  <dataFields count="2">
    <dataField name="Average of tip" fld="6" subtotal="average" baseField="0" baseItem="0" numFmtId="164"/>
    <dataField name="Average of tip %" fld="7" subtotal="average" baseField="0" baseItem="0" numFmtId="10"/>
  </dataFields>
  <formats count="6">
    <format dxfId="12">
      <pivotArea type="all" dataOnly="0" outline="0" fieldPosition="0"/>
    </format>
    <format dxfId="11">
      <pivotArea outline="0" collapsedLevelsAreSubtotals="1" fieldPosition="0"/>
    </format>
    <format dxfId="10">
      <pivotArea field="0" type="button" dataOnly="0" labelOnly="1" outline="0" axis="axisRow" fieldPosition="0"/>
    </format>
    <format dxfId="9">
      <pivotArea dataOnly="0" labelOnly="1" fieldPosition="0">
        <references count="1">
          <reference field="0" count="0"/>
        </references>
      </pivotArea>
    </format>
    <format dxfId="8">
      <pivotArea dataOnly="0" labelOnly="1" grandRow="1" outline="0" fieldPosition="0"/>
    </format>
    <format dxfId="7">
      <pivotArea dataOnly="0" labelOnly="1" outline="0" fieldPosition="0">
        <references count="1">
          <reference field="4294967294" count="2">
            <x v="0"/>
            <x v="1"/>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486916D-B1B6-3748-9D31-F5EA474266F2}"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E26:AG29" firstHeaderRow="0" firstDataRow="1" firstDataCol="1"/>
  <pivotFields count="8">
    <pivotField showAll="0">
      <items count="3">
        <item x="1"/>
        <item x="0"/>
        <item t="default"/>
      </items>
    </pivotField>
    <pivotField showAll="0">
      <items count="3">
        <item x="1"/>
        <item x="0"/>
        <item t="default"/>
      </items>
    </pivotField>
    <pivotField showAll="0">
      <items count="5">
        <item x="3"/>
        <item x="1"/>
        <item x="0"/>
        <item x="2"/>
        <item t="default"/>
      </items>
    </pivotField>
    <pivotField axis="axisRow" showAll="0">
      <items count="3">
        <item x="0"/>
        <item x="1"/>
        <item t="default"/>
      </items>
    </pivotField>
    <pivotField showAll="0">
      <items count="7">
        <item x="0"/>
        <item x="1"/>
        <item x="2"/>
        <item x="3"/>
        <item x="4"/>
        <item x="5"/>
        <item t="default"/>
      </items>
    </pivotField>
    <pivotField showAll="0"/>
    <pivotField dataField="1" showAll="0"/>
    <pivotField dataField="1" numFmtId="10" showAll="0"/>
  </pivotFields>
  <rowFields count="1">
    <field x="3"/>
  </rowFields>
  <rowItems count="3">
    <i>
      <x/>
    </i>
    <i>
      <x v="1"/>
    </i>
    <i t="grand">
      <x/>
    </i>
  </rowItems>
  <colFields count="1">
    <field x="-2"/>
  </colFields>
  <colItems count="2">
    <i>
      <x/>
    </i>
    <i i="1">
      <x v="1"/>
    </i>
  </colItems>
  <dataFields count="2">
    <dataField name="Average of tip" fld="6" subtotal="average" baseField="0" baseItem="0" numFmtId="164"/>
    <dataField name="Average of tip %" fld="7" subtotal="average" baseField="0" baseItem="0" numFmtId="10"/>
  </dataFields>
  <formats count="6">
    <format dxfId="18">
      <pivotArea type="all" dataOnly="0" outline="0" fieldPosition="0"/>
    </format>
    <format dxfId="17">
      <pivotArea outline="0" collapsedLevelsAreSubtotals="1" fieldPosition="0"/>
    </format>
    <format dxfId="16">
      <pivotArea field="3" type="button" dataOnly="0" labelOnly="1" outline="0" axis="axisRow" fieldPosition="0"/>
    </format>
    <format dxfId="15">
      <pivotArea dataOnly="0" labelOnly="1" fieldPosition="0">
        <references count="1">
          <reference field="3" count="0"/>
        </references>
      </pivotArea>
    </format>
    <format dxfId="14">
      <pivotArea dataOnly="0" labelOnly="1" grandRow="1" outline="0" fieldPosition="0"/>
    </format>
    <format dxfId="13">
      <pivotArea dataOnly="0" labelOnly="1" outline="0" fieldPosition="0">
        <references count="1">
          <reference field="4294967294" count="2">
            <x v="0"/>
            <x v="1"/>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8E24B5D-A4D6-BD49-A3B5-C5FEC2EC56B6}" name="PivotTable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W32:Y37" firstHeaderRow="0" firstDataRow="1" firstDataCol="1"/>
  <pivotFields count="8">
    <pivotField showAll="0">
      <items count="3">
        <item x="1"/>
        <item x="0"/>
        <item t="default"/>
      </items>
    </pivotField>
    <pivotField showAll="0">
      <items count="3">
        <item x="1"/>
        <item x="0"/>
        <item t="default"/>
      </items>
    </pivotField>
    <pivotField axis="axisRow" showAll="0">
      <items count="5">
        <item x="3"/>
        <item x="1"/>
        <item x="0"/>
        <item x="2"/>
        <item t="default"/>
      </items>
    </pivotField>
    <pivotField showAll="0">
      <items count="3">
        <item x="0"/>
        <item x="1"/>
        <item t="default"/>
      </items>
    </pivotField>
    <pivotField showAll="0">
      <items count="7">
        <item x="0"/>
        <item x="1"/>
        <item x="2"/>
        <item x="3"/>
        <item x="4"/>
        <item x="5"/>
        <item t="default"/>
      </items>
    </pivotField>
    <pivotField showAll="0"/>
    <pivotField dataField="1" showAll="0"/>
    <pivotField dataField="1" numFmtId="10" showAll="0"/>
  </pivotFields>
  <rowFields count="1">
    <field x="2"/>
  </rowFields>
  <rowItems count="5">
    <i>
      <x/>
    </i>
    <i>
      <x v="1"/>
    </i>
    <i>
      <x v="2"/>
    </i>
    <i>
      <x v="3"/>
    </i>
    <i t="grand">
      <x/>
    </i>
  </rowItems>
  <colFields count="1">
    <field x="-2"/>
  </colFields>
  <colItems count="2">
    <i>
      <x/>
    </i>
    <i i="1">
      <x v="1"/>
    </i>
  </colItems>
  <dataFields count="2">
    <dataField name="Average of tip" fld="6" subtotal="average" baseField="0" baseItem="0"/>
    <dataField name="Average of tip %" fld="7" subtotal="average" baseField="0" baseItem="0" numFmtId="10"/>
  </dataFields>
  <formats count="6">
    <format dxfId="24">
      <pivotArea type="all" dataOnly="0" outline="0" fieldPosition="0"/>
    </format>
    <format dxfId="23">
      <pivotArea outline="0" collapsedLevelsAreSubtotals="1" fieldPosition="0"/>
    </format>
    <format dxfId="22">
      <pivotArea field="2" type="button" dataOnly="0" labelOnly="1" outline="0" axis="axisRow" fieldPosition="0"/>
    </format>
    <format dxfId="21">
      <pivotArea dataOnly="0" labelOnly="1" fieldPosition="0">
        <references count="1">
          <reference field="2" count="0"/>
        </references>
      </pivotArea>
    </format>
    <format dxfId="20">
      <pivotArea dataOnly="0" labelOnly="1" grandRow="1" outline="0" fieldPosition="0"/>
    </format>
    <format dxfId="19">
      <pivotArea dataOnly="0" labelOnly="1" outline="0" fieldPosition="0">
        <references count="1">
          <reference field="4294967294" count="2">
            <x v="0"/>
            <x v="1"/>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7578CCC-190A-7A4F-ACC5-326FB0844890}" name="PivotTable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location ref="AA26:AC29" firstHeaderRow="0" firstDataRow="1" firstDataCol="1"/>
  <pivotFields count="8">
    <pivotField showAll="0">
      <items count="3">
        <item x="1"/>
        <item x="0"/>
        <item t="default"/>
      </items>
    </pivotField>
    <pivotField axis="axisRow" showAll="0">
      <items count="3">
        <item x="1"/>
        <item x="0"/>
        <item t="default"/>
      </items>
    </pivotField>
    <pivotField showAll="0">
      <items count="5">
        <item x="3"/>
        <item x="1"/>
        <item x="0"/>
        <item x="2"/>
        <item t="default"/>
      </items>
    </pivotField>
    <pivotField showAll="0">
      <items count="3">
        <item x="0"/>
        <item x="1"/>
        <item t="default"/>
      </items>
    </pivotField>
    <pivotField showAll="0">
      <items count="7">
        <item x="0"/>
        <item x="1"/>
        <item x="2"/>
        <item x="3"/>
        <item x="4"/>
        <item x="5"/>
        <item t="default"/>
      </items>
    </pivotField>
    <pivotField showAll="0"/>
    <pivotField dataField="1" showAll="0"/>
    <pivotField dataField="1" numFmtId="10" showAll="0"/>
  </pivotFields>
  <rowFields count="1">
    <field x="1"/>
  </rowFields>
  <rowItems count="3">
    <i>
      <x/>
    </i>
    <i>
      <x v="1"/>
    </i>
    <i t="grand">
      <x/>
    </i>
  </rowItems>
  <colFields count="1">
    <field x="-2"/>
  </colFields>
  <colItems count="2">
    <i>
      <x/>
    </i>
    <i i="1">
      <x v="1"/>
    </i>
  </colItems>
  <dataFields count="2">
    <dataField name="Average of tip" fld="6" subtotal="average" baseField="0" baseItem="0" numFmtId="164"/>
    <dataField name="Average of tip %" fld="7" subtotal="average" baseField="0" baseItem="0" numFmtId="10"/>
  </dataFields>
  <formats count="6">
    <format dxfId="30">
      <pivotArea type="all" dataOnly="0" outline="0" fieldPosition="0"/>
    </format>
    <format dxfId="29">
      <pivotArea outline="0" collapsedLevelsAreSubtotals="1" fieldPosition="0"/>
    </format>
    <format dxfId="28">
      <pivotArea field="1" type="button" dataOnly="0" labelOnly="1" outline="0" axis="axisRow" fieldPosition="0"/>
    </format>
    <format dxfId="27">
      <pivotArea dataOnly="0" labelOnly="1" fieldPosition="0">
        <references count="1">
          <reference field="1" count="0"/>
        </references>
      </pivotArea>
    </format>
    <format dxfId="26">
      <pivotArea dataOnly="0" labelOnly="1" grandRow="1" outline="0" fieldPosition="0"/>
    </format>
    <format dxfId="25">
      <pivotArea dataOnly="0" labelOnly="1" outline="0" fieldPosition="0">
        <references count="1">
          <reference field="4294967294" count="2">
            <x v="0"/>
            <x v="1"/>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drawing" Target="../drawings/drawing1.xml"/><Relationship Id="rId5" Type="http://schemas.openxmlformats.org/officeDocument/2006/relationships/pivotTable" Target="../pivotTables/pivotTable6.xml"/><Relationship Id="rId4"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0F867-33FE-B64F-917C-1AD3A728FEBA}">
  <dimension ref="A3:D6"/>
  <sheetViews>
    <sheetView zoomScale="120" zoomScaleNormal="120" workbookViewId="0">
      <selection activeCell="A5" sqref="A5"/>
    </sheetView>
  </sheetViews>
  <sheetFormatPr baseColWidth="10" defaultRowHeight="15" x14ac:dyDescent="0.2"/>
  <cols>
    <col min="1" max="1" width="12.1640625" bestFit="1" customWidth="1"/>
    <col min="2" max="2" width="9.5" bestFit="1" customWidth="1"/>
    <col min="3" max="3" width="13.6640625" bestFit="1" customWidth="1"/>
    <col min="4" max="5" width="13.5" bestFit="1" customWidth="1"/>
    <col min="6" max="6" width="11.1640625" bestFit="1" customWidth="1"/>
    <col min="7" max="8" width="12.1640625" bestFit="1" customWidth="1"/>
  </cols>
  <sheetData>
    <row r="3" spans="1:4" x14ac:dyDescent="0.2">
      <c r="A3" s="8" t="s">
        <v>41</v>
      </c>
      <c r="B3" t="s">
        <v>45</v>
      </c>
      <c r="C3" t="s">
        <v>44</v>
      </c>
      <c r="D3" t="s">
        <v>43</v>
      </c>
    </row>
    <row r="4" spans="1:4" x14ac:dyDescent="0.2">
      <c r="A4" s="9" t="s">
        <v>7</v>
      </c>
      <c r="B4">
        <v>214</v>
      </c>
      <c r="C4">
        <v>1570.9499999999994</v>
      </c>
      <c r="D4">
        <v>0.16649073632892475</v>
      </c>
    </row>
    <row r="5" spans="1:4" x14ac:dyDescent="0.2">
      <c r="A5" s="9" t="s">
        <v>11</v>
      </c>
      <c r="B5">
        <v>413</v>
      </c>
      <c r="C5">
        <v>3256.82</v>
      </c>
      <c r="D5">
        <v>0.15765054700429751</v>
      </c>
    </row>
    <row r="6" spans="1:4" x14ac:dyDescent="0.2">
      <c r="A6" s="9" t="s">
        <v>42</v>
      </c>
      <c r="B6">
        <v>627</v>
      </c>
      <c r="C6">
        <v>4827.7700000000013</v>
      </c>
      <c r="D6">
        <v>0.16080258172250475</v>
      </c>
    </row>
  </sheetData>
  <sortState xmlns:xlrd2="http://schemas.microsoft.com/office/spreadsheetml/2017/richdata2" ref="A3:C8">
    <sortCondition ref="A5"/>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7EB0B-904D-4A32-AC49-EEE4C902527F}">
  <dimension ref="A1:AH245"/>
  <sheetViews>
    <sheetView tabSelected="1" topLeftCell="V1" zoomScale="125" workbookViewId="0">
      <selection activeCell="W65" sqref="W65"/>
    </sheetView>
  </sheetViews>
  <sheetFormatPr baseColWidth="10" defaultColWidth="13.5" defaultRowHeight="15" x14ac:dyDescent="0.2"/>
  <cols>
    <col min="12" max="12" width="15.83203125" customWidth="1"/>
    <col min="18" max="18" width="14.5" customWidth="1"/>
    <col min="19" max="19" width="18.1640625" customWidth="1"/>
    <col min="20" max="20" width="18.6640625" customWidth="1"/>
    <col min="23" max="23" width="14" customWidth="1"/>
    <col min="24" max="24" width="11.33203125" bestFit="1" customWidth="1"/>
    <col min="25" max="25" width="13" bestFit="1" customWidth="1"/>
    <col min="26" max="26" width="13" customWidth="1"/>
    <col min="27" max="27" width="16.33203125" bestFit="1" customWidth="1"/>
    <col min="28" max="28" width="12.1640625" bestFit="1" customWidth="1"/>
    <col min="29" max="29" width="13" bestFit="1" customWidth="1"/>
    <col min="30" max="30" width="13.83203125" customWidth="1"/>
    <col min="31" max="31" width="13" bestFit="1" customWidth="1"/>
    <col min="32" max="32" width="12" customWidth="1"/>
    <col min="33" max="33" width="13.1640625" customWidth="1"/>
    <col min="34" max="34" width="37.6640625" customWidth="1"/>
    <col min="36" max="36" width="12.1640625" bestFit="1" customWidth="1"/>
    <col min="37" max="37" width="11.83203125" bestFit="1" customWidth="1"/>
    <col min="39" max="39" width="12.83203125" customWidth="1"/>
    <col min="40" max="40" width="10" bestFit="1" customWidth="1"/>
  </cols>
  <sheetData>
    <row r="1" spans="1:34" x14ac:dyDescent="0.2">
      <c r="A1" t="s">
        <v>0</v>
      </c>
      <c r="B1" t="s">
        <v>1</v>
      </c>
      <c r="C1" t="s">
        <v>2</v>
      </c>
      <c r="D1" t="s">
        <v>3</v>
      </c>
      <c r="E1" t="s">
        <v>4</v>
      </c>
      <c r="F1" t="s">
        <v>5</v>
      </c>
      <c r="G1" t="s">
        <v>6</v>
      </c>
      <c r="H1" t="s">
        <v>37</v>
      </c>
      <c r="J1" s="16" t="s">
        <v>40</v>
      </c>
      <c r="K1" s="17" t="s">
        <v>39</v>
      </c>
      <c r="L1" s="17" t="s">
        <v>2</v>
      </c>
      <c r="M1" s="17" t="s">
        <v>38</v>
      </c>
      <c r="N1" s="17" t="s">
        <v>4</v>
      </c>
      <c r="O1" s="17" t="s">
        <v>5</v>
      </c>
      <c r="P1" s="17" t="s">
        <v>6</v>
      </c>
      <c r="Q1" s="17" t="s">
        <v>37</v>
      </c>
      <c r="R1" s="17" t="s">
        <v>56</v>
      </c>
      <c r="S1" s="17" t="s">
        <v>66</v>
      </c>
      <c r="T1" s="18" t="s">
        <v>67</v>
      </c>
      <c r="U1" s="39" t="s">
        <v>65</v>
      </c>
    </row>
    <row r="2" spans="1:34" x14ac:dyDescent="0.2">
      <c r="A2" t="s">
        <v>7</v>
      </c>
      <c r="B2" t="s">
        <v>22</v>
      </c>
      <c r="C2" t="s">
        <v>21</v>
      </c>
      <c r="D2" t="s">
        <v>10</v>
      </c>
      <c r="E2">
        <v>1</v>
      </c>
      <c r="F2">
        <v>3.07</v>
      </c>
      <c r="G2">
        <v>1</v>
      </c>
      <c r="H2" s="5">
        <f t="shared" ref="H2:H65" si="0">G2/F2</f>
        <v>0.32573289902280134</v>
      </c>
      <c r="J2" s="11">
        <f t="shared" ref="J2:J65" si="1">IF(A2="Male",0, 1)</f>
        <v>1</v>
      </c>
      <c r="K2">
        <f t="shared" ref="K2:K65" si="2">IF(B2="No",0, 1)</f>
        <v>1</v>
      </c>
      <c r="L2">
        <f t="shared" ref="L2:L65" si="3">IF(C2="Mon",1,IF(C2="Tues",2,IF(C2="Wed",3,IF(C2="Thur",4,IF(C2="Fri",5,IF(C2="Sat",6,7))))))</f>
        <v>6</v>
      </c>
      <c r="M2">
        <f t="shared" ref="M2:M65" si="4">IF(D2="Lunch",0,1)</f>
        <v>1</v>
      </c>
      <c r="N2">
        <v>1</v>
      </c>
      <c r="O2">
        <v>3.07</v>
      </c>
      <c r="P2">
        <v>1</v>
      </c>
      <c r="Q2" s="5">
        <f t="shared" ref="Q2:Q65" si="5">P2/O2</f>
        <v>0.32573289902280134</v>
      </c>
      <c r="R2" s="5">
        <f t="shared" ref="R2:R65" si="6">AVERAGE(IF(A2="Female",GETPIVOTDATA("tip %",$W$26,"sex","Female"),GETPIVOTDATA("tip %",$W$26,"sex","Male")),IF(K2=0,GETPIVOTDATA("tip %",$AA$26,"smoker","No"),GETPIVOTDATA("tip %",$AA$26,"smoker","Yes")),IF(C2=$W$33,GETPIVOTDATA("tip %",$W$32,"day","Thur"),IF(C2=$W$34,GETPIVOTDATA("tip %",$W$32,"day","Fri"),IF(C2=$W$35,GETPIVOTDATA("tip %",$W$32,"day","Sat"),IF(C2=$W$36,GETPIVOTDATA("tip %",$W$32,"day","Sun"),GETPIVOTDATA("tip %",$W$32))))),IF(D2=$AE$27,GETPIVOTDATA("tip %",$AE$26,"time","Dinner"),GETPIVOTDATA("tip %",$AE$26,"time","Lunch")),IF(N2=$AA$33,GETPIVOTDATA("Average of tip %",$AA$32,"size",1),IF(N2=$AA$34,GETPIVOTDATA("Average of tip %",$AA$32,"size",2),IF(N2=$AA$35,GETPIVOTDATA("Average of tip %",$AA$32,"size",3),IF(N2=$AA$36,GETPIVOTDATA("Average of tip %",$AA$32,"size",4),IF(N2=$AA$37,GETPIVOTDATA("Average of tip %",$AA$32,"size",5),GETPIVOTDATA("Average of tip %",$AA$32,"size",6)))))))</f>
        <v>0.17192966032412729</v>
      </c>
      <c r="S2" s="10">
        <f>AVERAGE(IF(A2=$W$27,GETPIVOTDATA("Average of tip",$W$26,"sex","Female"),GETPIVOTDATA("Average of tip",$W$26,"sex","Male")),IF(B2=$AA$27,GETPIVOTDATA("Average of tip",$AA$26,"smoker","No"),GETPIVOTDATA("Average of tip",$AA$26,"smoker","Yes")),IF(C2=$W$33,GETPIVOTDATA("Average of tip",$W$32,"day","Thur"),IF(C2=$W$34,GETPIVOTDATA("Average of tip",$W$32,"day","Fri"),IF(C2=$W$35,GETPIVOTDATA("Average of tip",$W$32,"day","Sat"),GETPIVOTDATA("Average of tip",$W$32,"day","Sun")))),IF(D2=$AE$27,GETPIVOTDATA("Average of tip",$AE$26,"time","Dinner"),GETPIVOTDATA("Average of tip",$AE$26,"time","Lunch")),IF(E2=$AA$33,GETPIVOTDATA("Average of tip",$AA$32,"size",1),IF(E2=$AA$34,GETPIVOTDATA("Average of tip",$AA$32,"size",2),IF(E2=$AA$35,GETPIVOTDATA("Average of tip",$AA$32,"size",3),IF(E2=$AA$36,GETPIVOTDATA("Average of tip",$AA$32,"size",4),IF(E2=$AA$37,GETPIVOTDATA("Average of tip",$AA$32,"size",5),GETPIVOTDATA("Average of tip",$AA$32,"size",6)))))))</f>
        <v>2.6750863712205479</v>
      </c>
      <c r="T2" s="12">
        <f>R2*O2</f>
        <v>0.52782405719507075</v>
      </c>
      <c r="U2" s="10">
        <f>AVERAGE(S2,T2)</f>
        <v>1.6014552142078093</v>
      </c>
    </row>
    <row r="3" spans="1:34" x14ac:dyDescent="0.2">
      <c r="A3" t="s">
        <v>7</v>
      </c>
      <c r="B3" t="s">
        <v>8</v>
      </c>
      <c r="C3" t="s">
        <v>21</v>
      </c>
      <c r="D3" t="s">
        <v>10</v>
      </c>
      <c r="E3">
        <v>1</v>
      </c>
      <c r="F3">
        <v>7.25</v>
      </c>
      <c r="G3">
        <v>1</v>
      </c>
      <c r="H3" s="5">
        <f t="shared" si="0"/>
        <v>0.13793103448275862</v>
      </c>
      <c r="J3" s="11">
        <f t="shared" si="1"/>
        <v>1</v>
      </c>
      <c r="K3">
        <f t="shared" si="2"/>
        <v>0</v>
      </c>
      <c r="L3">
        <f t="shared" si="3"/>
        <v>6</v>
      </c>
      <c r="M3">
        <f t="shared" si="4"/>
        <v>1</v>
      </c>
      <c r="N3">
        <v>2</v>
      </c>
      <c r="O3">
        <v>5.75</v>
      </c>
      <c r="P3">
        <v>1</v>
      </c>
      <c r="Q3" s="5">
        <f t="shared" si="5"/>
        <v>0.17391304347826086</v>
      </c>
      <c r="R3" s="5">
        <f t="shared" si="6"/>
        <v>0.16084157908210489</v>
      </c>
      <c r="S3" s="10">
        <f t="shared" ref="S3:S66" si="7">AVERAGE(IF(A3=$W$27,GETPIVOTDATA("Average of tip",$W$26,"sex","Female"),GETPIVOTDATA("Average of tip",$W$26,"sex","Male")),IF(B3=$AA$27,GETPIVOTDATA("Average of tip",$AA$26,"smoker","No"),GETPIVOTDATA("Average of tip",$AA$26,"smoker","Yes")),IF(C3=$W$33,GETPIVOTDATA("Average of tip",$W$32,"day","Thur"),IF(C3=$W$34,GETPIVOTDATA("Average of tip",$W$32,"day","Fri"),IF(C3=$W$35,GETPIVOTDATA("Average of tip",$W$32,"day","Sat"),GETPIVOTDATA("Average of tip",$W$32,"day","Sun")))),IF(D3=$AE$27,GETPIVOTDATA("Average of tip",$AE$26,"time","Dinner"),GETPIVOTDATA("Average of tip",$AE$26,"time","Lunch")),IF(E3=$AA$33,GETPIVOTDATA("Average of tip",$AA$32,"size",1),IF(E3=$AA$34,GETPIVOTDATA("Average of tip",$AA$32,"size",2),IF(E3=$AA$35,GETPIVOTDATA("Average of tip",$AA$32,"size",3),IF(E3=$AA$36,GETPIVOTDATA("Average of tip",$AA$32,"size",4),IF(E3=$AA$37,GETPIVOTDATA("Average of tip",$AA$32,"size",5),GETPIVOTDATA("Average of tip",$AA$32,"size",6)))))))</f>
        <v>2.6717152966638293</v>
      </c>
      <c r="T3" s="12">
        <f t="shared" ref="T3:T66" si="8">R3*O3</f>
        <v>0.92483907972210311</v>
      </c>
      <c r="U3" s="10">
        <f t="shared" ref="U3:U66" si="9">AVERAGE(S3,T3)</f>
        <v>1.7982771881929662</v>
      </c>
      <c r="W3" s="3" t="s">
        <v>33</v>
      </c>
      <c r="X3" s="4"/>
      <c r="Y3" s="19"/>
      <c r="AG3" s="1" t="s">
        <v>12</v>
      </c>
      <c r="AH3" s="1" t="s">
        <v>13</v>
      </c>
    </row>
    <row r="4" spans="1:34" x14ac:dyDescent="0.2">
      <c r="A4" t="s">
        <v>7</v>
      </c>
      <c r="B4" t="s">
        <v>22</v>
      </c>
      <c r="C4" t="s">
        <v>25</v>
      </c>
      <c r="D4" t="s">
        <v>10</v>
      </c>
      <c r="E4">
        <v>2</v>
      </c>
      <c r="F4">
        <v>5.75</v>
      </c>
      <c r="G4">
        <v>1</v>
      </c>
      <c r="H4" s="5">
        <f t="shared" si="0"/>
        <v>0.17391304347826086</v>
      </c>
      <c r="J4" s="11">
        <f t="shared" si="1"/>
        <v>1</v>
      </c>
      <c r="K4">
        <f t="shared" si="2"/>
        <v>1</v>
      </c>
      <c r="L4">
        <f t="shared" si="3"/>
        <v>5</v>
      </c>
      <c r="M4">
        <f t="shared" si="4"/>
        <v>1</v>
      </c>
      <c r="N4">
        <v>2</v>
      </c>
      <c r="O4">
        <v>7.25</v>
      </c>
      <c r="P4">
        <v>5.15</v>
      </c>
      <c r="Q4" s="5">
        <f t="shared" si="5"/>
        <v>0.71034482758620698</v>
      </c>
      <c r="R4" s="5">
        <f t="shared" si="6"/>
        <v>0.16496735804277757</v>
      </c>
      <c r="S4" s="10">
        <f t="shared" si="7"/>
        <v>2.8523745884479665</v>
      </c>
      <c r="T4" s="12">
        <f t="shared" si="8"/>
        <v>1.1960133458101374</v>
      </c>
      <c r="U4" s="10">
        <f t="shared" si="9"/>
        <v>2.0241939671290519</v>
      </c>
      <c r="AG4" s="1" t="s">
        <v>1</v>
      </c>
      <c r="AH4" s="1" t="s">
        <v>14</v>
      </c>
    </row>
    <row r="5" spans="1:34" x14ac:dyDescent="0.2">
      <c r="A5" t="s">
        <v>11</v>
      </c>
      <c r="B5" t="s">
        <v>22</v>
      </c>
      <c r="C5" t="s">
        <v>21</v>
      </c>
      <c r="D5" t="s">
        <v>10</v>
      </c>
      <c r="E5">
        <v>2</v>
      </c>
      <c r="F5">
        <v>12.6</v>
      </c>
      <c r="G5">
        <v>1</v>
      </c>
      <c r="H5" s="5">
        <f t="shared" si="0"/>
        <v>7.9365079365079361E-2</v>
      </c>
      <c r="J5" s="11">
        <f t="shared" si="1"/>
        <v>0</v>
      </c>
      <c r="K5">
        <f t="shared" si="2"/>
        <v>1</v>
      </c>
      <c r="L5">
        <f t="shared" si="3"/>
        <v>6</v>
      </c>
      <c r="M5">
        <f t="shared" si="4"/>
        <v>1</v>
      </c>
      <c r="N5">
        <v>1</v>
      </c>
      <c r="O5">
        <v>7.25</v>
      </c>
      <c r="P5">
        <v>1</v>
      </c>
      <c r="Q5" s="5">
        <f t="shared" si="5"/>
        <v>0.13793103448275862</v>
      </c>
      <c r="R5" s="5">
        <f t="shared" si="6"/>
        <v>0.17016162245920183</v>
      </c>
      <c r="S5" s="10">
        <f t="shared" si="7"/>
        <v>2.9552818213886538</v>
      </c>
      <c r="T5" s="12">
        <f t="shared" si="8"/>
        <v>1.2336717628292133</v>
      </c>
      <c r="U5" s="10">
        <f t="shared" si="9"/>
        <v>2.0944767921089333</v>
      </c>
      <c r="V5">
        <v>1</v>
      </c>
      <c r="W5" s="2" t="s">
        <v>26</v>
      </c>
      <c r="AG5" s="1" t="s">
        <v>2</v>
      </c>
      <c r="AH5" s="1" t="s">
        <v>15</v>
      </c>
    </row>
    <row r="6" spans="1:34" x14ac:dyDescent="0.2">
      <c r="A6" t="s">
        <v>7</v>
      </c>
      <c r="B6" t="s">
        <v>8</v>
      </c>
      <c r="C6" t="s">
        <v>9</v>
      </c>
      <c r="D6" t="s">
        <v>10</v>
      </c>
      <c r="E6">
        <v>2</v>
      </c>
      <c r="F6">
        <v>16.989999999999998</v>
      </c>
      <c r="G6">
        <v>1.01</v>
      </c>
      <c r="H6" s="5">
        <f t="shared" si="0"/>
        <v>5.9446733372572107E-2</v>
      </c>
      <c r="J6" s="11">
        <f t="shared" si="1"/>
        <v>1</v>
      </c>
      <c r="K6">
        <f t="shared" si="2"/>
        <v>0</v>
      </c>
      <c r="L6">
        <f t="shared" si="3"/>
        <v>7</v>
      </c>
      <c r="M6">
        <f t="shared" si="4"/>
        <v>1</v>
      </c>
      <c r="N6">
        <v>2</v>
      </c>
      <c r="O6">
        <v>7.51</v>
      </c>
      <c r="P6">
        <v>2</v>
      </c>
      <c r="Q6" s="5">
        <f t="shared" si="5"/>
        <v>0.26631158455392812</v>
      </c>
      <c r="R6" s="5">
        <f t="shared" si="6"/>
        <v>0.16359069307477619</v>
      </c>
      <c r="S6" s="10">
        <f t="shared" si="7"/>
        <v>2.9530824612596698</v>
      </c>
      <c r="T6" s="12">
        <f t="shared" si="8"/>
        <v>1.2285661049915693</v>
      </c>
      <c r="U6" s="10">
        <f t="shared" si="9"/>
        <v>2.0908242831256194</v>
      </c>
      <c r="W6" t="s">
        <v>34</v>
      </c>
      <c r="AG6" s="1" t="s">
        <v>3</v>
      </c>
      <c r="AH6" s="1" t="s">
        <v>16</v>
      </c>
    </row>
    <row r="7" spans="1:34" x14ac:dyDescent="0.2">
      <c r="A7" t="s">
        <v>7</v>
      </c>
      <c r="B7" t="s">
        <v>22</v>
      </c>
      <c r="C7" t="s">
        <v>21</v>
      </c>
      <c r="D7" t="s">
        <v>10</v>
      </c>
      <c r="E7">
        <v>2</v>
      </c>
      <c r="F7">
        <v>12.9</v>
      </c>
      <c r="G7">
        <v>1.1000000000000001</v>
      </c>
      <c r="H7" s="5">
        <f t="shared" si="0"/>
        <v>8.5271317829457363E-2</v>
      </c>
      <c r="J7" s="11">
        <f t="shared" si="1"/>
        <v>1</v>
      </c>
      <c r="K7">
        <f t="shared" si="2"/>
        <v>1</v>
      </c>
      <c r="L7">
        <f t="shared" si="3"/>
        <v>6</v>
      </c>
      <c r="M7">
        <f t="shared" si="4"/>
        <v>1</v>
      </c>
      <c r="N7">
        <v>2</v>
      </c>
      <c r="O7">
        <v>7.56</v>
      </c>
      <c r="P7">
        <v>1.44</v>
      </c>
      <c r="Q7" s="5">
        <f t="shared" si="5"/>
        <v>0.19047619047619047</v>
      </c>
      <c r="R7" s="5">
        <f t="shared" si="6"/>
        <v>0.16161509557363743</v>
      </c>
      <c r="S7" s="10">
        <f t="shared" si="7"/>
        <v>2.9040479096820868</v>
      </c>
      <c r="T7" s="12">
        <f t="shared" si="8"/>
        <v>1.2218101225366989</v>
      </c>
      <c r="U7" s="10">
        <f t="shared" si="9"/>
        <v>2.0629290161093929</v>
      </c>
      <c r="V7">
        <v>2</v>
      </c>
      <c r="W7" s="2" t="s">
        <v>27</v>
      </c>
      <c r="AG7" s="1" t="s">
        <v>4</v>
      </c>
      <c r="AH7" s="1" t="s">
        <v>17</v>
      </c>
    </row>
    <row r="8" spans="1:34" x14ac:dyDescent="0.2">
      <c r="A8" t="s">
        <v>11</v>
      </c>
      <c r="B8" t="s">
        <v>22</v>
      </c>
      <c r="C8" t="s">
        <v>21</v>
      </c>
      <c r="D8" t="s">
        <v>10</v>
      </c>
      <c r="E8">
        <v>2</v>
      </c>
      <c r="F8">
        <v>32.83</v>
      </c>
      <c r="G8">
        <v>1.17</v>
      </c>
      <c r="H8" s="5">
        <f t="shared" si="0"/>
        <v>3.5638135851355467E-2</v>
      </c>
      <c r="J8" s="11">
        <f t="shared" si="1"/>
        <v>0</v>
      </c>
      <c r="K8">
        <f t="shared" si="2"/>
        <v>1</v>
      </c>
      <c r="L8">
        <f t="shared" si="3"/>
        <v>6</v>
      </c>
      <c r="M8">
        <f t="shared" si="4"/>
        <v>1</v>
      </c>
      <c r="N8">
        <v>2</v>
      </c>
      <c r="O8">
        <v>7.74</v>
      </c>
      <c r="P8">
        <v>1.44</v>
      </c>
      <c r="Q8" s="5">
        <f t="shared" si="5"/>
        <v>0.18604651162790697</v>
      </c>
      <c r="R8" s="5">
        <f t="shared" si="6"/>
        <v>0.15984705770871196</v>
      </c>
      <c r="S8" s="10">
        <f t="shared" si="7"/>
        <v>2.9552818213886538</v>
      </c>
      <c r="T8" s="12">
        <f t="shared" si="8"/>
        <v>1.2372162266654307</v>
      </c>
      <c r="U8" s="10">
        <f t="shared" si="9"/>
        <v>2.0962490240270424</v>
      </c>
      <c r="W8" t="s">
        <v>35</v>
      </c>
      <c r="AG8" s="1" t="s">
        <v>18</v>
      </c>
      <c r="AH8" s="1" t="s">
        <v>19</v>
      </c>
    </row>
    <row r="9" spans="1:34" x14ac:dyDescent="0.2">
      <c r="A9" t="s">
        <v>11</v>
      </c>
      <c r="B9" t="s">
        <v>8</v>
      </c>
      <c r="C9" t="s">
        <v>21</v>
      </c>
      <c r="D9" t="s">
        <v>10</v>
      </c>
      <c r="E9">
        <v>2</v>
      </c>
      <c r="F9">
        <v>10.51</v>
      </c>
      <c r="G9">
        <v>1.25</v>
      </c>
      <c r="H9" s="5">
        <f t="shared" si="0"/>
        <v>0.11893434823977164</v>
      </c>
      <c r="J9" s="11">
        <f t="shared" si="1"/>
        <v>0</v>
      </c>
      <c r="K9">
        <f t="shared" si="2"/>
        <v>0</v>
      </c>
      <c r="L9">
        <f t="shared" si="3"/>
        <v>6</v>
      </c>
      <c r="M9">
        <f t="shared" si="4"/>
        <v>1</v>
      </c>
      <c r="N9">
        <v>2</v>
      </c>
      <c r="O9">
        <v>8.35</v>
      </c>
      <c r="P9">
        <v>1.5</v>
      </c>
      <c r="Q9" s="5">
        <f t="shared" si="5"/>
        <v>0.17964071856287425</v>
      </c>
      <c r="R9" s="5">
        <f t="shared" si="6"/>
        <v>0.15907354121717945</v>
      </c>
      <c r="S9" s="10">
        <f t="shared" si="7"/>
        <v>2.9519107468319357</v>
      </c>
      <c r="T9" s="12">
        <f t="shared" si="8"/>
        <v>1.3282640691634484</v>
      </c>
      <c r="U9" s="10">
        <f t="shared" si="9"/>
        <v>2.1400874079976919</v>
      </c>
      <c r="W9" t="s">
        <v>36</v>
      </c>
      <c r="AG9" s="1" t="s">
        <v>6</v>
      </c>
      <c r="AH9" s="1" t="s">
        <v>20</v>
      </c>
    </row>
    <row r="10" spans="1:34" x14ac:dyDescent="0.2">
      <c r="A10" t="s">
        <v>7</v>
      </c>
      <c r="B10" t="s">
        <v>8</v>
      </c>
      <c r="C10" t="s">
        <v>23</v>
      </c>
      <c r="D10" t="s">
        <v>24</v>
      </c>
      <c r="E10">
        <v>2</v>
      </c>
      <c r="F10">
        <v>8.51</v>
      </c>
      <c r="G10">
        <v>1.25</v>
      </c>
      <c r="H10" s="5">
        <f t="shared" si="0"/>
        <v>0.14688601645123384</v>
      </c>
      <c r="J10" s="11">
        <f t="shared" si="1"/>
        <v>1</v>
      </c>
      <c r="K10">
        <f t="shared" si="2"/>
        <v>0</v>
      </c>
      <c r="L10">
        <f t="shared" si="3"/>
        <v>4</v>
      </c>
      <c r="M10">
        <f t="shared" si="4"/>
        <v>0</v>
      </c>
      <c r="N10">
        <v>2</v>
      </c>
      <c r="O10">
        <v>8.51</v>
      </c>
      <c r="P10">
        <v>1.25</v>
      </c>
      <c r="Q10" s="5">
        <f t="shared" si="5"/>
        <v>0.14688601645123384</v>
      </c>
      <c r="R10" s="5">
        <f t="shared" si="6"/>
        <v>0.16338839047442422</v>
      </c>
      <c r="S10" s="10">
        <f t="shared" si="7"/>
        <v>2.7814300242005734</v>
      </c>
      <c r="T10" s="12">
        <f t="shared" si="8"/>
        <v>1.3904352029373501</v>
      </c>
      <c r="U10" s="10">
        <f t="shared" si="9"/>
        <v>2.0859326135689615</v>
      </c>
      <c r="V10">
        <v>3</v>
      </c>
      <c r="W10" s="2" t="s">
        <v>28</v>
      </c>
    </row>
    <row r="11" spans="1:34" x14ac:dyDescent="0.2">
      <c r="A11" t="s">
        <v>11</v>
      </c>
      <c r="B11" t="s">
        <v>8</v>
      </c>
      <c r="C11" t="s">
        <v>21</v>
      </c>
      <c r="D11" t="s">
        <v>10</v>
      </c>
      <c r="E11">
        <v>2</v>
      </c>
      <c r="F11">
        <v>10.07</v>
      </c>
      <c r="G11">
        <v>1.25</v>
      </c>
      <c r="H11" s="5">
        <f t="shared" si="0"/>
        <v>0.12413108242303872</v>
      </c>
      <c r="J11" s="11">
        <f t="shared" si="1"/>
        <v>0</v>
      </c>
      <c r="K11">
        <f t="shared" si="2"/>
        <v>0</v>
      </c>
      <c r="L11">
        <f t="shared" si="3"/>
        <v>6</v>
      </c>
      <c r="M11">
        <f t="shared" si="4"/>
        <v>1</v>
      </c>
      <c r="N11">
        <v>2</v>
      </c>
      <c r="O11">
        <v>8.52</v>
      </c>
      <c r="P11">
        <v>1.48</v>
      </c>
      <c r="Q11" s="5">
        <f t="shared" si="5"/>
        <v>0.17370892018779344</v>
      </c>
      <c r="R11" s="5">
        <f t="shared" si="6"/>
        <v>0.15907354121717945</v>
      </c>
      <c r="S11" s="10">
        <f t="shared" si="7"/>
        <v>2.9519107468319357</v>
      </c>
      <c r="T11" s="12">
        <f t="shared" si="8"/>
        <v>1.3553065711703689</v>
      </c>
      <c r="U11" s="10">
        <f t="shared" si="9"/>
        <v>2.1536086590011525</v>
      </c>
      <c r="W11" t="s">
        <v>72</v>
      </c>
    </row>
    <row r="12" spans="1:34" x14ac:dyDescent="0.2">
      <c r="A12" t="s">
        <v>11</v>
      </c>
      <c r="B12" t="s">
        <v>8</v>
      </c>
      <c r="C12" t="s">
        <v>9</v>
      </c>
      <c r="D12" t="s">
        <v>10</v>
      </c>
      <c r="E12">
        <v>2</v>
      </c>
      <c r="F12">
        <v>9.68</v>
      </c>
      <c r="G12">
        <v>1.32</v>
      </c>
      <c r="H12" s="5">
        <f t="shared" si="0"/>
        <v>0.13636363636363638</v>
      </c>
      <c r="J12" s="11">
        <f t="shared" si="1"/>
        <v>0</v>
      </c>
      <c r="K12">
        <f t="shared" si="2"/>
        <v>0</v>
      </c>
      <c r="L12">
        <f t="shared" si="3"/>
        <v>7</v>
      </c>
      <c r="M12">
        <f t="shared" si="4"/>
        <v>1</v>
      </c>
      <c r="N12">
        <v>1</v>
      </c>
      <c r="O12">
        <v>8.58</v>
      </c>
      <c r="P12">
        <v>1.92</v>
      </c>
      <c r="Q12" s="5">
        <f t="shared" si="5"/>
        <v>0.22377622377622378</v>
      </c>
      <c r="R12" s="5">
        <f t="shared" si="6"/>
        <v>0.17213721996034059</v>
      </c>
      <c r="S12" s="10">
        <f t="shared" si="7"/>
        <v>3.0043163729662368</v>
      </c>
      <c r="T12" s="12">
        <f t="shared" si="8"/>
        <v>1.4769373472597223</v>
      </c>
      <c r="U12" s="10">
        <f t="shared" si="9"/>
        <v>2.2406268601129797</v>
      </c>
      <c r="V12">
        <v>4</v>
      </c>
      <c r="W12" s="2" t="s">
        <v>29</v>
      </c>
    </row>
    <row r="13" spans="1:34" x14ac:dyDescent="0.2">
      <c r="A13" t="s">
        <v>7</v>
      </c>
      <c r="B13" t="s">
        <v>8</v>
      </c>
      <c r="C13" t="s">
        <v>23</v>
      </c>
      <c r="D13" t="s">
        <v>24</v>
      </c>
      <c r="E13">
        <v>3</v>
      </c>
      <c r="F13">
        <v>18.64</v>
      </c>
      <c r="G13">
        <v>1.36</v>
      </c>
      <c r="H13" s="5">
        <f t="shared" si="0"/>
        <v>7.2961373390557943E-2</v>
      </c>
      <c r="J13" s="11">
        <f t="shared" si="1"/>
        <v>1</v>
      </c>
      <c r="K13">
        <f t="shared" si="2"/>
        <v>0</v>
      </c>
      <c r="L13">
        <f t="shared" si="3"/>
        <v>4</v>
      </c>
      <c r="M13">
        <f t="shared" si="4"/>
        <v>0</v>
      </c>
      <c r="N13">
        <v>2</v>
      </c>
      <c r="O13">
        <v>8.77</v>
      </c>
      <c r="P13">
        <v>2</v>
      </c>
      <c r="Q13" s="5">
        <f t="shared" si="5"/>
        <v>0.22805017103762829</v>
      </c>
      <c r="R13" s="5">
        <f t="shared" si="6"/>
        <v>0.16338839047442422</v>
      </c>
      <c r="S13" s="10">
        <f t="shared" si="7"/>
        <v>2.9436000646864029</v>
      </c>
      <c r="T13" s="12">
        <f t="shared" si="8"/>
        <v>1.4329161844607003</v>
      </c>
      <c r="U13" s="10">
        <f t="shared" si="9"/>
        <v>2.1882581245735517</v>
      </c>
      <c r="W13" s="6" t="s">
        <v>58</v>
      </c>
    </row>
    <row r="14" spans="1:34" x14ac:dyDescent="0.2">
      <c r="A14" t="s">
        <v>11</v>
      </c>
      <c r="B14" t="s">
        <v>8</v>
      </c>
      <c r="C14" t="s">
        <v>23</v>
      </c>
      <c r="D14" t="s">
        <v>24</v>
      </c>
      <c r="E14">
        <v>2</v>
      </c>
      <c r="F14">
        <v>7.56</v>
      </c>
      <c r="G14">
        <v>1.44</v>
      </c>
      <c r="H14" s="5">
        <f t="shared" si="0"/>
        <v>0.19047619047619047</v>
      </c>
      <c r="J14" s="11">
        <f t="shared" si="1"/>
        <v>0</v>
      </c>
      <c r="K14">
        <f t="shared" si="2"/>
        <v>0</v>
      </c>
      <c r="L14">
        <f t="shared" si="3"/>
        <v>4</v>
      </c>
      <c r="M14">
        <f t="shared" si="4"/>
        <v>0</v>
      </c>
      <c r="N14">
        <v>2</v>
      </c>
      <c r="O14">
        <v>9.5500000000000007</v>
      </c>
      <c r="P14">
        <v>1.45</v>
      </c>
      <c r="Q14" s="5">
        <f t="shared" si="5"/>
        <v>0.15183246073298429</v>
      </c>
      <c r="R14" s="5">
        <f t="shared" si="6"/>
        <v>0.16162035260949875</v>
      </c>
      <c r="S14" s="10">
        <f t="shared" si="7"/>
        <v>2.8326639359071408</v>
      </c>
      <c r="T14" s="12">
        <f t="shared" si="8"/>
        <v>1.5434743674207132</v>
      </c>
      <c r="U14" s="10">
        <f t="shared" si="9"/>
        <v>2.1880691516639272</v>
      </c>
      <c r="W14" t="s">
        <v>40</v>
      </c>
      <c r="X14">
        <f>CORREL(J2:J245,$P$2:$P$245)</f>
        <v>-0.15157256580638054</v>
      </c>
      <c r="Y14">
        <f>CORREL(J$2:J$245,$Q$2:$Q$245)</f>
        <v>-3.3804800330597878E-2</v>
      </c>
    </row>
    <row r="15" spans="1:34" x14ac:dyDescent="0.2">
      <c r="A15" t="s">
        <v>11</v>
      </c>
      <c r="B15" t="s">
        <v>22</v>
      </c>
      <c r="C15" t="s">
        <v>21</v>
      </c>
      <c r="D15" t="s">
        <v>10</v>
      </c>
      <c r="E15">
        <v>2</v>
      </c>
      <c r="F15">
        <v>7.74</v>
      </c>
      <c r="G15">
        <v>1.44</v>
      </c>
      <c r="H15" s="5">
        <f t="shared" si="0"/>
        <v>0.18604651162790697</v>
      </c>
      <c r="J15" s="11">
        <f t="shared" si="1"/>
        <v>0</v>
      </c>
      <c r="K15">
        <f t="shared" si="2"/>
        <v>1</v>
      </c>
      <c r="L15">
        <f t="shared" si="3"/>
        <v>6</v>
      </c>
      <c r="M15">
        <f t="shared" si="4"/>
        <v>1</v>
      </c>
      <c r="N15">
        <v>2</v>
      </c>
      <c r="O15">
        <v>9.6</v>
      </c>
      <c r="P15">
        <v>4</v>
      </c>
      <c r="Q15" s="5">
        <f t="shared" si="5"/>
        <v>0.41666666666666669</v>
      </c>
      <c r="R15" s="5">
        <f t="shared" si="6"/>
        <v>0.15984705770871196</v>
      </c>
      <c r="S15" s="10">
        <f t="shared" si="7"/>
        <v>2.9552818213886538</v>
      </c>
      <c r="T15" s="12">
        <f t="shared" si="8"/>
        <v>1.5345317540036347</v>
      </c>
      <c r="U15" s="10">
        <f t="shared" si="9"/>
        <v>2.2449067876961442</v>
      </c>
      <c r="W15" t="s">
        <v>39</v>
      </c>
      <c r="X15">
        <f>CORREL(K2:K245,$P$2:$P$245)</f>
        <v>3.5690960102804779E-2</v>
      </c>
      <c r="Y15">
        <f>CORREL(K$2:K$245,$Q$2:$Q$245)</f>
        <v>7.9056473799197793E-2</v>
      </c>
    </row>
    <row r="16" spans="1:34" x14ac:dyDescent="0.2">
      <c r="A16" t="s">
        <v>11</v>
      </c>
      <c r="B16" t="s">
        <v>8</v>
      </c>
      <c r="C16" t="s">
        <v>21</v>
      </c>
      <c r="D16" t="s">
        <v>10</v>
      </c>
      <c r="E16">
        <v>2</v>
      </c>
      <c r="F16">
        <v>9.5500000000000007</v>
      </c>
      <c r="G16">
        <v>1.45</v>
      </c>
      <c r="H16" s="5">
        <f t="shared" si="0"/>
        <v>0.15183246073298429</v>
      </c>
      <c r="J16" s="11">
        <f t="shared" si="1"/>
        <v>0</v>
      </c>
      <c r="K16">
        <f t="shared" si="2"/>
        <v>0</v>
      </c>
      <c r="L16">
        <f t="shared" si="3"/>
        <v>6</v>
      </c>
      <c r="M16">
        <f t="shared" si="4"/>
        <v>1</v>
      </c>
      <c r="N16">
        <v>2</v>
      </c>
      <c r="O16">
        <v>9.68</v>
      </c>
      <c r="P16">
        <v>1.32</v>
      </c>
      <c r="Q16" s="5">
        <f t="shared" si="5"/>
        <v>0.13636363636363638</v>
      </c>
      <c r="R16" s="5">
        <f t="shared" si="6"/>
        <v>0.15907354121717945</v>
      </c>
      <c r="S16" s="10">
        <f t="shared" si="7"/>
        <v>2.9519107468319357</v>
      </c>
      <c r="T16" s="12">
        <f t="shared" si="8"/>
        <v>1.5398318789822971</v>
      </c>
      <c r="U16" s="10">
        <f t="shared" si="9"/>
        <v>2.2458713129071164</v>
      </c>
      <c r="W16" t="s">
        <v>2</v>
      </c>
      <c r="X16">
        <f>CORREL(L2:L245,$P$2:$P$245)</f>
        <v>0.21416599395742483</v>
      </c>
      <c r="Y16">
        <f>CORREL(L$2:L$245,$Q$2:$Q$245)</f>
        <v>4.7489523707445483E-2</v>
      </c>
    </row>
    <row r="17" spans="1:33" x14ac:dyDescent="0.2">
      <c r="A17" t="s">
        <v>11</v>
      </c>
      <c r="B17" t="s">
        <v>8</v>
      </c>
      <c r="C17" t="s">
        <v>21</v>
      </c>
      <c r="D17" t="s">
        <v>10</v>
      </c>
      <c r="E17">
        <v>2</v>
      </c>
      <c r="F17">
        <v>10.77</v>
      </c>
      <c r="G17">
        <v>1.47</v>
      </c>
      <c r="H17" s="5">
        <f t="shared" si="0"/>
        <v>0.13649025069637882</v>
      </c>
      <c r="J17" s="11">
        <f t="shared" si="1"/>
        <v>0</v>
      </c>
      <c r="K17">
        <f t="shared" si="2"/>
        <v>0</v>
      </c>
      <c r="L17">
        <f t="shared" si="3"/>
        <v>6</v>
      </c>
      <c r="M17">
        <f t="shared" si="4"/>
        <v>1</v>
      </c>
      <c r="N17">
        <v>2</v>
      </c>
      <c r="O17">
        <v>9.7799999999999994</v>
      </c>
      <c r="P17">
        <v>1.73</v>
      </c>
      <c r="Q17" s="5">
        <f t="shared" si="5"/>
        <v>0.17689161554192229</v>
      </c>
      <c r="R17" s="5">
        <f t="shared" si="6"/>
        <v>0.15907354121717945</v>
      </c>
      <c r="S17" s="10">
        <f t="shared" si="7"/>
        <v>2.9519107468319357</v>
      </c>
      <c r="T17" s="12">
        <f t="shared" si="8"/>
        <v>1.555739233104015</v>
      </c>
      <c r="U17" s="10">
        <f t="shared" si="9"/>
        <v>2.2538249899679754</v>
      </c>
      <c r="W17" t="s">
        <v>38</v>
      </c>
      <c r="X17">
        <f>CORREL(M2:M245,$P$2:$P$245)</f>
        <v>0.22106156676541253</v>
      </c>
      <c r="Y17">
        <f>CORREL(M$2:M$245,$Q$2:$Q$245)</f>
        <v>0.11815649958478122</v>
      </c>
    </row>
    <row r="18" spans="1:33" x14ac:dyDescent="0.2">
      <c r="A18" t="s">
        <v>11</v>
      </c>
      <c r="B18" t="s">
        <v>8</v>
      </c>
      <c r="C18" t="s">
        <v>23</v>
      </c>
      <c r="D18" t="s">
        <v>24</v>
      </c>
      <c r="E18">
        <v>2</v>
      </c>
      <c r="F18">
        <v>8.52</v>
      </c>
      <c r="G18">
        <v>1.48</v>
      </c>
      <c r="H18" s="5">
        <f t="shared" si="0"/>
        <v>0.17370892018779344</v>
      </c>
      <c r="J18" s="11">
        <f t="shared" si="1"/>
        <v>0</v>
      </c>
      <c r="K18">
        <f t="shared" si="2"/>
        <v>0</v>
      </c>
      <c r="L18">
        <f t="shared" si="3"/>
        <v>4</v>
      </c>
      <c r="M18">
        <f t="shared" si="4"/>
        <v>0</v>
      </c>
      <c r="N18">
        <v>2</v>
      </c>
      <c r="O18">
        <v>9.94</v>
      </c>
      <c r="P18">
        <v>1.56</v>
      </c>
      <c r="Q18" s="5">
        <f t="shared" si="5"/>
        <v>0.15694164989939638</v>
      </c>
      <c r="R18" s="5">
        <f t="shared" si="6"/>
        <v>0.16162035260949875</v>
      </c>
      <c r="S18" s="10">
        <f t="shared" si="7"/>
        <v>2.8326639359071408</v>
      </c>
      <c r="T18" s="12">
        <f t="shared" si="8"/>
        <v>1.6065063049384176</v>
      </c>
      <c r="U18" s="10">
        <f t="shared" si="9"/>
        <v>2.2195851204227792</v>
      </c>
      <c r="W18" t="s">
        <v>4</v>
      </c>
      <c r="X18">
        <f>CORREL(N2:N245,$P$2:$P$245)</f>
        <v>0.48929877523035814</v>
      </c>
      <c r="Y18">
        <f>CORREL(N$2:N$245,$Q$2:$Q$245)</f>
        <v>-0.14285960069312367</v>
      </c>
    </row>
    <row r="19" spans="1:33" x14ac:dyDescent="0.2">
      <c r="A19" t="s">
        <v>7</v>
      </c>
      <c r="B19" t="s">
        <v>8</v>
      </c>
      <c r="C19" t="s">
        <v>21</v>
      </c>
      <c r="D19" t="s">
        <v>10</v>
      </c>
      <c r="E19">
        <v>2</v>
      </c>
      <c r="F19">
        <v>26.41</v>
      </c>
      <c r="G19">
        <v>1.5</v>
      </c>
      <c r="H19" s="5">
        <f t="shared" si="0"/>
        <v>5.679666792881484E-2</v>
      </c>
      <c r="J19" s="11">
        <f t="shared" si="1"/>
        <v>1</v>
      </c>
      <c r="K19">
        <f t="shared" si="2"/>
        <v>0</v>
      </c>
      <c r="L19">
        <f t="shared" si="3"/>
        <v>6</v>
      </c>
      <c r="M19">
        <f t="shared" si="4"/>
        <v>1</v>
      </c>
      <c r="N19">
        <v>2</v>
      </c>
      <c r="O19">
        <v>10.07</v>
      </c>
      <c r="P19">
        <v>1.25</v>
      </c>
      <c r="Q19" s="5">
        <f t="shared" si="5"/>
        <v>0.12413108242303872</v>
      </c>
      <c r="R19" s="5">
        <f t="shared" si="6"/>
        <v>0.16084157908210489</v>
      </c>
      <c r="S19" s="10">
        <f t="shared" si="7"/>
        <v>2.9006768351253682</v>
      </c>
      <c r="T19" s="12">
        <f t="shared" si="8"/>
        <v>1.6196747013567963</v>
      </c>
      <c r="U19" s="10">
        <f t="shared" si="9"/>
        <v>2.2601757682410821</v>
      </c>
      <c r="W19" t="s">
        <v>46</v>
      </c>
      <c r="X19">
        <f>CORREL($O$2:$O$245,$P$2:$P$245)</f>
        <v>0.67573410921136468</v>
      </c>
      <c r="Y19">
        <f>CORREL($O$2:$O$245,Q2:Q245)</f>
        <v>-0.33862408496473517</v>
      </c>
    </row>
    <row r="20" spans="1:33" x14ac:dyDescent="0.2">
      <c r="A20" t="s">
        <v>11</v>
      </c>
      <c r="B20" t="s">
        <v>22</v>
      </c>
      <c r="C20" t="s">
        <v>25</v>
      </c>
      <c r="D20" t="s">
        <v>10</v>
      </c>
      <c r="E20">
        <v>2</v>
      </c>
      <c r="F20">
        <v>12.03</v>
      </c>
      <c r="G20">
        <v>1.5</v>
      </c>
      <c r="H20" s="5">
        <f t="shared" si="0"/>
        <v>0.12468827930174564</v>
      </c>
      <c r="J20" s="11">
        <f t="shared" si="1"/>
        <v>0</v>
      </c>
      <c r="K20">
        <f t="shared" si="2"/>
        <v>1</v>
      </c>
      <c r="L20">
        <f t="shared" si="3"/>
        <v>5</v>
      </c>
      <c r="M20">
        <f t="shared" si="4"/>
        <v>1</v>
      </c>
      <c r="N20">
        <v>1</v>
      </c>
      <c r="O20">
        <v>10.07</v>
      </c>
      <c r="P20">
        <v>1.83</v>
      </c>
      <c r="Q20" s="5">
        <f t="shared" si="5"/>
        <v>0.18172790466732869</v>
      </c>
      <c r="R20" s="5">
        <f t="shared" si="6"/>
        <v>0.17351388492834197</v>
      </c>
      <c r="S20" s="10">
        <f t="shared" si="7"/>
        <v>2.903608500154534</v>
      </c>
      <c r="T20" s="12">
        <f t="shared" si="8"/>
        <v>1.7472848212284036</v>
      </c>
      <c r="U20" s="10">
        <f t="shared" si="9"/>
        <v>2.325446660691469</v>
      </c>
      <c r="W20" t="s">
        <v>60</v>
      </c>
    </row>
    <row r="21" spans="1:33" x14ac:dyDescent="0.2">
      <c r="A21" t="s">
        <v>11</v>
      </c>
      <c r="B21" t="s">
        <v>8</v>
      </c>
      <c r="C21" t="s">
        <v>25</v>
      </c>
      <c r="D21" t="s">
        <v>10</v>
      </c>
      <c r="E21">
        <v>2</v>
      </c>
      <c r="F21">
        <v>12.46</v>
      </c>
      <c r="G21">
        <v>1.5</v>
      </c>
      <c r="H21" s="5">
        <f t="shared" si="0"/>
        <v>0.1203852327447833</v>
      </c>
      <c r="J21" s="11">
        <f t="shared" si="1"/>
        <v>0</v>
      </c>
      <c r="K21">
        <f t="shared" si="2"/>
        <v>0</v>
      </c>
      <c r="L21">
        <f t="shared" si="3"/>
        <v>5</v>
      </c>
      <c r="M21">
        <f t="shared" si="4"/>
        <v>1</v>
      </c>
      <c r="N21">
        <v>2</v>
      </c>
      <c r="O21">
        <v>10.09</v>
      </c>
      <c r="P21">
        <v>2</v>
      </c>
      <c r="Q21" s="5">
        <f t="shared" si="5"/>
        <v>0.19821605550049554</v>
      </c>
      <c r="R21" s="5">
        <f t="shared" si="6"/>
        <v>0.16242580368631959</v>
      </c>
      <c r="S21" s="10">
        <f t="shared" si="7"/>
        <v>2.9002374255978154</v>
      </c>
      <c r="T21" s="12">
        <f t="shared" si="8"/>
        <v>1.6388763591949647</v>
      </c>
      <c r="U21" s="10">
        <f t="shared" si="9"/>
        <v>2.2695568923963902</v>
      </c>
      <c r="W21" t="s">
        <v>59</v>
      </c>
    </row>
    <row r="22" spans="1:33" x14ac:dyDescent="0.2">
      <c r="A22" t="s">
        <v>7</v>
      </c>
      <c r="B22" t="s">
        <v>8</v>
      </c>
      <c r="C22" t="s">
        <v>23</v>
      </c>
      <c r="D22" t="s">
        <v>24</v>
      </c>
      <c r="E22">
        <v>2</v>
      </c>
      <c r="F22">
        <v>10.65</v>
      </c>
      <c r="G22">
        <v>1.5</v>
      </c>
      <c r="H22" s="5">
        <f t="shared" si="0"/>
        <v>0.14084507042253522</v>
      </c>
      <c r="J22" s="11">
        <f t="shared" si="1"/>
        <v>1</v>
      </c>
      <c r="K22">
        <f t="shared" si="2"/>
        <v>0</v>
      </c>
      <c r="L22">
        <f t="shared" si="3"/>
        <v>4</v>
      </c>
      <c r="M22">
        <f t="shared" si="4"/>
        <v>0</v>
      </c>
      <c r="N22">
        <v>2</v>
      </c>
      <c r="O22">
        <v>10.27</v>
      </c>
      <c r="P22">
        <v>1.71</v>
      </c>
      <c r="Q22" s="5">
        <f t="shared" si="5"/>
        <v>0.1665043816942551</v>
      </c>
      <c r="R22" s="5">
        <f t="shared" si="6"/>
        <v>0.16338839047442422</v>
      </c>
      <c r="S22" s="10">
        <f t="shared" si="7"/>
        <v>2.7814300242005734</v>
      </c>
      <c r="T22" s="12">
        <f t="shared" si="8"/>
        <v>1.6779987701723367</v>
      </c>
      <c r="U22" s="10">
        <f t="shared" si="9"/>
        <v>2.2297143971864548</v>
      </c>
      <c r="V22">
        <v>5</v>
      </c>
      <c r="W22" s="2" t="s">
        <v>30</v>
      </c>
    </row>
    <row r="23" spans="1:33" x14ac:dyDescent="0.2">
      <c r="A23" t="s">
        <v>11</v>
      </c>
      <c r="B23" t="s">
        <v>8</v>
      </c>
      <c r="C23" t="s">
        <v>23</v>
      </c>
      <c r="D23" t="s">
        <v>24</v>
      </c>
      <c r="E23">
        <v>2</v>
      </c>
      <c r="F23">
        <v>19.079999999999998</v>
      </c>
      <c r="G23">
        <v>1.5</v>
      </c>
      <c r="H23" s="5">
        <f t="shared" si="0"/>
        <v>7.8616352201257872E-2</v>
      </c>
      <c r="J23" s="11">
        <f t="shared" si="1"/>
        <v>0</v>
      </c>
      <c r="K23">
        <f t="shared" si="2"/>
        <v>0</v>
      </c>
      <c r="L23">
        <f t="shared" si="3"/>
        <v>4</v>
      </c>
      <c r="M23">
        <f t="shared" si="4"/>
        <v>0</v>
      </c>
      <c r="N23">
        <v>2</v>
      </c>
      <c r="O23">
        <v>10.29</v>
      </c>
      <c r="P23">
        <v>2.6</v>
      </c>
      <c r="Q23" s="5">
        <f t="shared" si="5"/>
        <v>0.25267249757045679</v>
      </c>
      <c r="R23" s="5">
        <f t="shared" si="6"/>
        <v>0.16162035260949875</v>
      </c>
      <c r="S23" s="10">
        <f t="shared" si="7"/>
        <v>2.8326639359071408</v>
      </c>
      <c r="T23" s="12">
        <f t="shared" si="8"/>
        <v>1.6630734283517421</v>
      </c>
      <c r="U23" s="10">
        <f t="shared" si="9"/>
        <v>2.2478686821294414</v>
      </c>
      <c r="W23" t="s">
        <v>54</v>
      </c>
    </row>
    <row r="24" spans="1:33" ht="16" thickBot="1" x14ac:dyDescent="0.25">
      <c r="A24" t="s">
        <v>7</v>
      </c>
      <c r="B24" t="s">
        <v>8</v>
      </c>
      <c r="C24" t="s">
        <v>23</v>
      </c>
      <c r="D24" t="s">
        <v>24</v>
      </c>
      <c r="E24">
        <v>2</v>
      </c>
      <c r="F24">
        <v>11.17</v>
      </c>
      <c r="G24">
        <v>1.5</v>
      </c>
      <c r="H24" s="5">
        <f t="shared" si="0"/>
        <v>0.13428827215756492</v>
      </c>
      <c r="J24" s="11">
        <f t="shared" si="1"/>
        <v>1</v>
      </c>
      <c r="K24">
        <f t="shared" si="2"/>
        <v>0</v>
      </c>
      <c r="L24">
        <f t="shared" si="3"/>
        <v>4</v>
      </c>
      <c r="M24">
        <f t="shared" si="4"/>
        <v>0</v>
      </c>
      <c r="N24">
        <v>3</v>
      </c>
      <c r="O24">
        <v>10.33</v>
      </c>
      <c r="P24">
        <v>1.67</v>
      </c>
      <c r="Q24" s="5">
        <f t="shared" si="5"/>
        <v>0.16166505324298161</v>
      </c>
      <c r="R24" s="5">
        <f t="shared" si="6"/>
        <v>0.16067592307488207</v>
      </c>
      <c r="S24" s="10">
        <f t="shared" si="7"/>
        <v>2.7814300242005734</v>
      </c>
      <c r="T24" s="12">
        <f t="shared" si="8"/>
        <v>1.6597822853635318</v>
      </c>
      <c r="U24" s="10">
        <f t="shared" si="9"/>
        <v>2.2206061547820526</v>
      </c>
      <c r="W24" t="s">
        <v>55</v>
      </c>
    </row>
    <row r="25" spans="1:33" x14ac:dyDescent="0.2">
      <c r="A25" t="s">
        <v>7</v>
      </c>
      <c r="B25" t="s">
        <v>8</v>
      </c>
      <c r="C25" t="s">
        <v>23</v>
      </c>
      <c r="D25" t="s">
        <v>24</v>
      </c>
      <c r="E25">
        <v>2</v>
      </c>
      <c r="F25">
        <v>8.35</v>
      </c>
      <c r="G25">
        <v>1.5</v>
      </c>
      <c r="H25" s="5">
        <f t="shared" si="0"/>
        <v>0.17964071856287425</v>
      </c>
      <c r="J25" s="11">
        <f t="shared" si="1"/>
        <v>1</v>
      </c>
      <c r="K25">
        <f t="shared" si="2"/>
        <v>0</v>
      </c>
      <c r="L25">
        <f t="shared" si="3"/>
        <v>4</v>
      </c>
      <c r="M25">
        <f t="shared" si="4"/>
        <v>0</v>
      </c>
      <c r="N25">
        <v>2</v>
      </c>
      <c r="O25">
        <v>10.33</v>
      </c>
      <c r="P25">
        <v>2</v>
      </c>
      <c r="Q25" s="5">
        <f t="shared" si="5"/>
        <v>0.1936108422071636</v>
      </c>
      <c r="R25" s="5">
        <f t="shared" si="6"/>
        <v>0.16338839047442422</v>
      </c>
      <c r="S25" s="10">
        <f t="shared" si="7"/>
        <v>2.7814300242005734</v>
      </c>
      <c r="T25" s="12">
        <f t="shared" si="8"/>
        <v>1.6878020736008021</v>
      </c>
      <c r="U25" s="10">
        <f t="shared" si="9"/>
        <v>2.2346160489006879</v>
      </c>
      <c r="W25" s="36" t="s">
        <v>49</v>
      </c>
      <c r="X25" s="37"/>
      <c r="Y25" s="38"/>
      <c r="AA25" s="36" t="s">
        <v>50</v>
      </c>
      <c r="AB25" s="37"/>
      <c r="AC25" s="38"/>
      <c r="AE25" s="36" t="s">
        <v>53</v>
      </c>
      <c r="AF25" s="37"/>
      <c r="AG25" s="38"/>
    </row>
    <row r="26" spans="1:33" x14ac:dyDescent="0.2">
      <c r="A26" t="s">
        <v>11</v>
      </c>
      <c r="B26" t="s">
        <v>22</v>
      </c>
      <c r="C26" t="s">
        <v>9</v>
      </c>
      <c r="D26" t="s">
        <v>10</v>
      </c>
      <c r="E26">
        <v>2</v>
      </c>
      <c r="F26">
        <v>15.69</v>
      </c>
      <c r="G26">
        <v>1.5</v>
      </c>
      <c r="H26" s="5">
        <f t="shared" si="0"/>
        <v>9.5602294455066919E-2</v>
      </c>
      <c r="J26" s="11">
        <f t="shared" si="1"/>
        <v>0</v>
      </c>
      <c r="K26">
        <f t="shared" si="2"/>
        <v>1</v>
      </c>
      <c r="L26">
        <f t="shared" si="3"/>
        <v>7</v>
      </c>
      <c r="M26">
        <f t="shared" si="4"/>
        <v>1</v>
      </c>
      <c r="N26">
        <v>3</v>
      </c>
      <c r="O26">
        <v>10.34</v>
      </c>
      <c r="P26">
        <v>1.66</v>
      </c>
      <c r="Q26" s="5">
        <f t="shared" si="5"/>
        <v>0.16054158607350097</v>
      </c>
      <c r="R26" s="5">
        <f t="shared" si="6"/>
        <v>0.15988370430184115</v>
      </c>
      <c r="S26" s="10">
        <f t="shared" si="7"/>
        <v>3.0076874475229554</v>
      </c>
      <c r="T26" s="12">
        <f t="shared" si="8"/>
        <v>1.6531975024810375</v>
      </c>
      <c r="U26" s="10">
        <f t="shared" si="9"/>
        <v>2.3304424750019965</v>
      </c>
      <c r="W26" s="25" t="s">
        <v>41</v>
      </c>
      <c r="X26" s="7" t="s">
        <v>48</v>
      </c>
      <c r="Y26" s="26" t="s">
        <v>43</v>
      </c>
      <c r="AA26" s="25" t="s">
        <v>41</v>
      </c>
      <c r="AB26" s="7" t="s">
        <v>48</v>
      </c>
      <c r="AC26" s="26" t="s">
        <v>43</v>
      </c>
      <c r="AE26" s="25" t="s">
        <v>41</v>
      </c>
      <c r="AF26" s="7" t="s">
        <v>48</v>
      </c>
      <c r="AG26" s="26" t="s">
        <v>43</v>
      </c>
    </row>
    <row r="27" spans="1:33" x14ac:dyDescent="0.2">
      <c r="A27" t="s">
        <v>11</v>
      </c>
      <c r="B27" t="s">
        <v>22</v>
      </c>
      <c r="C27" t="s">
        <v>21</v>
      </c>
      <c r="D27" t="s">
        <v>10</v>
      </c>
      <c r="E27">
        <v>2</v>
      </c>
      <c r="F27">
        <v>11.59</v>
      </c>
      <c r="G27">
        <v>1.5</v>
      </c>
      <c r="H27" s="5">
        <f t="shared" si="0"/>
        <v>0.12942191544434858</v>
      </c>
      <c r="J27" s="11">
        <f t="shared" si="1"/>
        <v>0</v>
      </c>
      <c r="K27">
        <f t="shared" si="2"/>
        <v>1</v>
      </c>
      <c r="L27">
        <f t="shared" si="3"/>
        <v>6</v>
      </c>
      <c r="M27">
        <f t="shared" si="4"/>
        <v>1</v>
      </c>
      <c r="N27">
        <v>2</v>
      </c>
      <c r="O27">
        <v>10.34</v>
      </c>
      <c r="P27">
        <v>2</v>
      </c>
      <c r="Q27" s="5">
        <f t="shared" si="5"/>
        <v>0.19342359767891684</v>
      </c>
      <c r="R27" s="5">
        <f t="shared" si="6"/>
        <v>0.15984705770871196</v>
      </c>
      <c r="S27" s="10">
        <f t="shared" si="7"/>
        <v>2.9552818213886538</v>
      </c>
      <c r="T27" s="12">
        <f t="shared" si="8"/>
        <v>1.6528185767080816</v>
      </c>
      <c r="U27" s="10">
        <f t="shared" si="9"/>
        <v>2.3040501990483677</v>
      </c>
      <c r="W27" s="27" t="s">
        <v>7</v>
      </c>
      <c r="X27" s="20">
        <v>2.833448275862068</v>
      </c>
      <c r="Y27" s="28">
        <v>0.16649073632892475</v>
      </c>
      <c r="AA27" s="27" t="s">
        <v>8</v>
      </c>
      <c r="AB27" s="20">
        <v>2.991854304635762</v>
      </c>
      <c r="AC27" s="28">
        <v>0.15932846217921529</v>
      </c>
      <c r="AE27" s="27" t="s">
        <v>10</v>
      </c>
      <c r="AF27" s="20">
        <v>3.1026704545454553</v>
      </c>
      <c r="AG27" s="28">
        <v>0.1595177887797774</v>
      </c>
    </row>
    <row r="28" spans="1:33" x14ac:dyDescent="0.2">
      <c r="A28" t="s">
        <v>11</v>
      </c>
      <c r="B28" t="s">
        <v>8</v>
      </c>
      <c r="C28" t="s">
        <v>9</v>
      </c>
      <c r="D28" t="s">
        <v>10</v>
      </c>
      <c r="E28">
        <v>2</v>
      </c>
      <c r="F28">
        <v>9.94</v>
      </c>
      <c r="G28">
        <v>1.56</v>
      </c>
      <c r="H28" s="5">
        <f t="shared" si="0"/>
        <v>0.15694164989939638</v>
      </c>
      <c r="J28" s="11">
        <f t="shared" si="1"/>
        <v>0</v>
      </c>
      <c r="K28">
        <f t="shared" si="2"/>
        <v>0</v>
      </c>
      <c r="L28">
        <f t="shared" si="3"/>
        <v>7</v>
      </c>
      <c r="M28">
        <f t="shared" si="4"/>
        <v>1</v>
      </c>
      <c r="N28">
        <v>2</v>
      </c>
      <c r="O28">
        <v>10.51</v>
      </c>
      <c r="P28">
        <v>1.25</v>
      </c>
      <c r="Q28" s="5">
        <f t="shared" si="5"/>
        <v>0.11893434823977164</v>
      </c>
      <c r="R28" s="5">
        <f t="shared" si="6"/>
        <v>0.16182265520985073</v>
      </c>
      <c r="S28" s="10">
        <f t="shared" si="7"/>
        <v>3.0043163729662368</v>
      </c>
      <c r="T28" s="12">
        <f t="shared" si="8"/>
        <v>1.7007561062555312</v>
      </c>
      <c r="U28" s="10">
        <f t="shared" si="9"/>
        <v>2.3525362396108838</v>
      </c>
      <c r="W28" s="29" t="s">
        <v>11</v>
      </c>
      <c r="X28" s="21">
        <v>3.0896178343949052</v>
      </c>
      <c r="Y28" s="30">
        <v>0.15765054700429751</v>
      </c>
      <c r="AA28" s="29" t="s">
        <v>22</v>
      </c>
      <c r="AB28" s="21">
        <v>3.0087096774193549</v>
      </c>
      <c r="AC28" s="30">
        <v>0.16319604463687792</v>
      </c>
      <c r="AE28" s="29" t="s">
        <v>24</v>
      </c>
      <c r="AF28" s="21">
        <v>2.7280882352941176</v>
      </c>
      <c r="AG28" s="30">
        <v>0.16412792816250496</v>
      </c>
    </row>
    <row r="29" spans="1:33" ht="16" thickBot="1" x14ac:dyDescent="0.25">
      <c r="A29" t="s">
        <v>11</v>
      </c>
      <c r="B29" t="s">
        <v>8</v>
      </c>
      <c r="C29" t="s">
        <v>9</v>
      </c>
      <c r="D29" t="s">
        <v>10</v>
      </c>
      <c r="E29">
        <v>2</v>
      </c>
      <c r="F29">
        <v>15.42</v>
      </c>
      <c r="G29">
        <v>1.57</v>
      </c>
      <c r="H29" s="5">
        <f t="shared" si="0"/>
        <v>0.10181582360570687</v>
      </c>
      <c r="J29" s="11">
        <f t="shared" si="1"/>
        <v>0</v>
      </c>
      <c r="K29">
        <f t="shared" si="2"/>
        <v>0</v>
      </c>
      <c r="L29">
        <f t="shared" si="3"/>
        <v>7</v>
      </c>
      <c r="M29">
        <f t="shared" si="4"/>
        <v>1</v>
      </c>
      <c r="N29">
        <v>2</v>
      </c>
      <c r="O29">
        <v>10.59</v>
      </c>
      <c r="P29">
        <v>1.61</v>
      </c>
      <c r="Q29" s="5">
        <f t="shared" si="5"/>
        <v>0.15203021718602455</v>
      </c>
      <c r="R29" s="5">
        <f t="shared" si="6"/>
        <v>0.16182265520985073</v>
      </c>
      <c r="S29" s="10">
        <f t="shared" si="7"/>
        <v>3.0043163729662368</v>
      </c>
      <c r="T29" s="12">
        <f t="shared" si="8"/>
        <v>1.7137019186723192</v>
      </c>
      <c r="U29" s="10">
        <f t="shared" si="9"/>
        <v>2.3590091458192779</v>
      </c>
      <c r="W29" s="31" t="s">
        <v>42</v>
      </c>
      <c r="X29" s="32">
        <v>2.9982786885245898</v>
      </c>
      <c r="Y29" s="33">
        <v>0.16080258172250475</v>
      </c>
      <c r="AA29" s="31" t="s">
        <v>42</v>
      </c>
      <c r="AB29" s="32">
        <v>2.9982786885245893</v>
      </c>
      <c r="AC29" s="33">
        <v>0.16080258172250469</v>
      </c>
      <c r="AE29" s="31" t="s">
        <v>42</v>
      </c>
      <c r="AF29" s="32">
        <v>2.9982786885245907</v>
      </c>
      <c r="AG29" s="33">
        <v>0.16080258172250481</v>
      </c>
    </row>
    <row r="30" spans="1:33" ht="16" thickBot="1" x14ac:dyDescent="0.25">
      <c r="A30" t="s">
        <v>11</v>
      </c>
      <c r="B30" t="s">
        <v>22</v>
      </c>
      <c r="C30" t="s">
        <v>25</v>
      </c>
      <c r="D30" t="s">
        <v>24</v>
      </c>
      <c r="E30">
        <v>2</v>
      </c>
      <c r="F30">
        <v>13.42</v>
      </c>
      <c r="G30">
        <v>1.58</v>
      </c>
      <c r="H30" s="5">
        <f t="shared" si="0"/>
        <v>0.11773472429210134</v>
      </c>
      <c r="J30" s="11">
        <f t="shared" si="1"/>
        <v>0</v>
      </c>
      <c r="K30">
        <f t="shared" si="2"/>
        <v>1</v>
      </c>
      <c r="L30">
        <f t="shared" si="3"/>
        <v>5</v>
      </c>
      <c r="M30">
        <f t="shared" si="4"/>
        <v>0</v>
      </c>
      <c r="N30">
        <v>2</v>
      </c>
      <c r="O30">
        <v>10.63</v>
      </c>
      <c r="P30">
        <v>2</v>
      </c>
      <c r="Q30" s="5">
        <f t="shared" si="5"/>
        <v>0.18814675446848542</v>
      </c>
      <c r="R30" s="5">
        <f t="shared" si="6"/>
        <v>0.16412134805439765</v>
      </c>
      <c r="S30" s="10">
        <f t="shared" si="7"/>
        <v>2.8286920563042663</v>
      </c>
      <c r="T30" s="12">
        <f t="shared" si="8"/>
        <v>1.7446099298182471</v>
      </c>
      <c r="U30" s="10">
        <f t="shared" si="9"/>
        <v>2.2866509930612566</v>
      </c>
    </row>
    <row r="31" spans="1:33" x14ac:dyDescent="0.2">
      <c r="A31" t="s">
        <v>7</v>
      </c>
      <c r="B31" t="s">
        <v>22</v>
      </c>
      <c r="C31" t="s">
        <v>21</v>
      </c>
      <c r="D31" t="s">
        <v>10</v>
      </c>
      <c r="E31">
        <v>2</v>
      </c>
      <c r="F31">
        <v>10.59</v>
      </c>
      <c r="G31">
        <v>1.61</v>
      </c>
      <c r="H31" s="5">
        <f t="shared" si="0"/>
        <v>0.15203021718602455</v>
      </c>
      <c r="J31" s="11">
        <f t="shared" si="1"/>
        <v>1</v>
      </c>
      <c r="K31">
        <f t="shared" si="2"/>
        <v>1</v>
      </c>
      <c r="L31">
        <f t="shared" si="3"/>
        <v>6</v>
      </c>
      <c r="M31">
        <f t="shared" si="4"/>
        <v>1</v>
      </c>
      <c r="N31">
        <v>2</v>
      </c>
      <c r="O31">
        <v>10.65</v>
      </c>
      <c r="P31">
        <v>1.5</v>
      </c>
      <c r="Q31" s="5">
        <f t="shared" si="5"/>
        <v>0.14084507042253522</v>
      </c>
      <c r="R31" s="5">
        <f t="shared" si="6"/>
        <v>0.16161509557363743</v>
      </c>
      <c r="S31" s="10">
        <f t="shared" si="7"/>
        <v>2.9040479096820868</v>
      </c>
      <c r="T31" s="12">
        <f t="shared" si="8"/>
        <v>1.7212007678592387</v>
      </c>
      <c r="U31" s="10">
        <f t="shared" si="9"/>
        <v>2.3126243387706626</v>
      </c>
      <c r="W31" s="36" t="s">
        <v>51</v>
      </c>
      <c r="X31" s="37"/>
      <c r="Y31" s="38"/>
      <c r="AA31" s="36" t="s">
        <v>52</v>
      </c>
      <c r="AB31" s="37"/>
      <c r="AC31" s="37"/>
      <c r="AD31" s="38"/>
    </row>
    <row r="32" spans="1:33" x14ac:dyDescent="0.2">
      <c r="A32" t="s">
        <v>7</v>
      </c>
      <c r="B32" t="s">
        <v>8</v>
      </c>
      <c r="C32" t="s">
        <v>23</v>
      </c>
      <c r="D32" t="s">
        <v>24</v>
      </c>
      <c r="E32">
        <v>2</v>
      </c>
      <c r="F32">
        <v>11.87</v>
      </c>
      <c r="G32">
        <v>1.63</v>
      </c>
      <c r="H32" s="5">
        <f t="shared" si="0"/>
        <v>0.13732097725358045</v>
      </c>
      <c r="J32" s="11">
        <f t="shared" si="1"/>
        <v>1</v>
      </c>
      <c r="K32">
        <f t="shared" si="2"/>
        <v>0</v>
      </c>
      <c r="L32">
        <f t="shared" si="3"/>
        <v>4</v>
      </c>
      <c r="M32">
        <f t="shared" si="4"/>
        <v>0</v>
      </c>
      <c r="N32">
        <v>2</v>
      </c>
      <c r="O32">
        <v>10.77</v>
      </c>
      <c r="P32">
        <v>1.47</v>
      </c>
      <c r="Q32" s="5">
        <f t="shared" si="5"/>
        <v>0.13649025069637882</v>
      </c>
      <c r="R32" s="5">
        <f t="shared" si="6"/>
        <v>0.16338839047442422</v>
      </c>
      <c r="S32" s="10">
        <f t="shared" si="7"/>
        <v>2.7814300242005734</v>
      </c>
      <c r="T32" s="12">
        <f t="shared" si="8"/>
        <v>1.7596929654095488</v>
      </c>
      <c r="U32" s="10">
        <f t="shared" si="9"/>
        <v>2.2705614948050612</v>
      </c>
      <c r="W32" s="25" t="s">
        <v>41</v>
      </c>
      <c r="X32" s="7" t="s">
        <v>48</v>
      </c>
      <c r="Y32" s="26" t="s">
        <v>43</v>
      </c>
      <c r="AA32" s="25" t="s">
        <v>41</v>
      </c>
      <c r="AB32" s="7" t="s">
        <v>47</v>
      </c>
      <c r="AC32" s="23" t="s">
        <v>48</v>
      </c>
      <c r="AD32" s="26" t="s">
        <v>43</v>
      </c>
    </row>
    <row r="33" spans="1:30" x14ac:dyDescent="0.2">
      <c r="A33" t="s">
        <v>11</v>
      </c>
      <c r="B33" t="s">
        <v>22</v>
      </c>
      <c r="C33" t="s">
        <v>21</v>
      </c>
      <c r="D33" t="s">
        <v>10</v>
      </c>
      <c r="E33">
        <v>2</v>
      </c>
      <c r="F33">
        <v>15.36</v>
      </c>
      <c r="G33">
        <v>1.64</v>
      </c>
      <c r="H33" s="5">
        <f t="shared" si="0"/>
        <v>0.10677083333333333</v>
      </c>
      <c r="J33" s="11">
        <f t="shared" si="1"/>
        <v>0</v>
      </c>
      <c r="K33">
        <f t="shared" si="2"/>
        <v>1</v>
      </c>
      <c r="L33">
        <f t="shared" si="3"/>
        <v>6</v>
      </c>
      <c r="M33">
        <f t="shared" si="4"/>
        <v>1</v>
      </c>
      <c r="N33">
        <v>2</v>
      </c>
      <c r="O33">
        <v>11.02</v>
      </c>
      <c r="P33">
        <v>1.98</v>
      </c>
      <c r="Q33" s="5">
        <f t="shared" si="5"/>
        <v>0.17967332123411978</v>
      </c>
      <c r="R33" s="5">
        <f t="shared" si="6"/>
        <v>0.15984705770871196</v>
      </c>
      <c r="S33" s="10">
        <f t="shared" si="7"/>
        <v>2.9552818213886538</v>
      </c>
      <c r="T33" s="12">
        <f t="shared" si="8"/>
        <v>1.7615145759500057</v>
      </c>
      <c r="U33" s="10">
        <f t="shared" si="9"/>
        <v>2.3583981986693296</v>
      </c>
      <c r="W33" s="27" t="s">
        <v>23</v>
      </c>
      <c r="X33" s="7">
        <v>2.7714516129032254</v>
      </c>
      <c r="Y33" s="28">
        <v>0.1612756339666471</v>
      </c>
      <c r="AA33" s="27">
        <v>1</v>
      </c>
      <c r="AB33" s="7">
        <v>7.2424999999999997</v>
      </c>
      <c r="AC33" s="23">
        <v>1.4375</v>
      </c>
      <c r="AD33" s="28">
        <v>0.21729201548727811</v>
      </c>
    </row>
    <row r="34" spans="1:30" x14ac:dyDescent="0.2">
      <c r="A34" t="s">
        <v>11</v>
      </c>
      <c r="B34" t="s">
        <v>8</v>
      </c>
      <c r="C34" t="s">
        <v>9</v>
      </c>
      <c r="D34" t="s">
        <v>10</v>
      </c>
      <c r="E34">
        <v>3</v>
      </c>
      <c r="F34">
        <v>10.34</v>
      </c>
      <c r="G34">
        <v>1.66</v>
      </c>
      <c r="H34" s="5">
        <f t="shared" si="0"/>
        <v>0.16054158607350097</v>
      </c>
      <c r="J34" s="11">
        <f t="shared" si="1"/>
        <v>0</v>
      </c>
      <c r="K34">
        <f t="shared" si="2"/>
        <v>0</v>
      </c>
      <c r="L34">
        <f t="shared" si="3"/>
        <v>7</v>
      </c>
      <c r="M34">
        <f t="shared" si="4"/>
        <v>1</v>
      </c>
      <c r="N34">
        <v>2</v>
      </c>
      <c r="O34">
        <v>11.17</v>
      </c>
      <c r="P34">
        <v>1.5</v>
      </c>
      <c r="Q34" s="5">
        <f t="shared" si="5"/>
        <v>0.13428827215756492</v>
      </c>
      <c r="R34" s="5">
        <f t="shared" si="6"/>
        <v>0.16182265520985073</v>
      </c>
      <c r="S34" s="10">
        <f t="shared" si="7"/>
        <v>3.1664864134520667</v>
      </c>
      <c r="T34" s="12">
        <f t="shared" si="8"/>
        <v>1.8075590586940327</v>
      </c>
      <c r="U34" s="10">
        <f t="shared" si="9"/>
        <v>2.4870227360730497</v>
      </c>
      <c r="W34" s="29" t="s">
        <v>25</v>
      </c>
      <c r="X34" s="22">
        <v>2.7347368421052627</v>
      </c>
      <c r="Y34" s="30">
        <v>0.16991302873347888</v>
      </c>
      <c r="AA34" s="29">
        <v>2</v>
      </c>
      <c r="AB34" s="22">
        <v>16.448012820512815</v>
      </c>
      <c r="AC34" s="24">
        <v>2.5823076923076931</v>
      </c>
      <c r="AD34" s="30">
        <v>0.16571919173482891</v>
      </c>
    </row>
    <row r="35" spans="1:30" x14ac:dyDescent="0.2">
      <c r="A35" t="s">
        <v>7</v>
      </c>
      <c r="B35" t="s">
        <v>8</v>
      </c>
      <c r="C35" t="s">
        <v>9</v>
      </c>
      <c r="D35" t="s">
        <v>10</v>
      </c>
      <c r="E35">
        <v>3</v>
      </c>
      <c r="F35">
        <v>10.33</v>
      </c>
      <c r="G35">
        <v>1.67</v>
      </c>
      <c r="H35" s="5">
        <f t="shared" si="0"/>
        <v>0.16166505324298161</v>
      </c>
      <c r="J35" s="11">
        <f t="shared" si="1"/>
        <v>1</v>
      </c>
      <c r="K35">
        <f t="shared" si="2"/>
        <v>0</v>
      </c>
      <c r="L35">
        <f t="shared" si="3"/>
        <v>7</v>
      </c>
      <c r="M35">
        <f t="shared" si="4"/>
        <v>1</v>
      </c>
      <c r="N35">
        <v>2</v>
      </c>
      <c r="O35">
        <v>11.24</v>
      </c>
      <c r="P35">
        <v>1.76</v>
      </c>
      <c r="Q35" s="5">
        <f t="shared" si="5"/>
        <v>0.15658362989323843</v>
      </c>
      <c r="R35" s="5">
        <f t="shared" si="6"/>
        <v>0.16359069307477619</v>
      </c>
      <c r="S35" s="10">
        <f t="shared" si="7"/>
        <v>3.1152525017454993</v>
      </c>
      <c r="T35" s="12">
        <f t="shared" si="8"/>
        <v>1.8387593901604844</v>
      </c>
      <c r="U35" s="10">
        <f t="shared" si="9"/>
        <v>2.4770059459529916</v>
      </c>
      <c r="W35" s="29" t="s">
        <v>21</v>
      </c>
      <c r="X35" s="22">
        <v>2.9931034482758618</v>
      </c>
      <c r="Y35" s="30">
        <v>0.15315171638777816</v>
      </c>
      <c r="AA35" s="29">
        <v>3</v>
      </c>
      <c r="AB35" s="22">
        <v>23.277631578947368</v>
      </c>
      <c r="AC35" s="24">
        <v>3.3931578947368419</v>
      </c>
      <c r="AD35" s="30">
        <v>0.15215685473711832</v>
      </c>
    </row>
    <row r="36" spans="1:30" x14ac:dyDescent="0.2">
      <c r="A36" t="s">
        <v>7</v>
      </c>
      <c r="B36" t="s">
        <v>8</v>
      </c>
      <c r="C36" t="s">
        <v>23</v>
      </c>
      <c r="D36" t="s">
        <v>24</v>
      </c>
      <c r="E36">
        <v>2</v>
      </c>
      <c r="F36">
        <v>13.42</v>
      </c>
      <c r="G36">
        <v>1.68</v>
      </c>
      <c r="H36" s="5">
        <f t="shared" si="0"/>
        <v>0.12518628912071533</v>
      </c>
      <c r="J36" s="11">
        <f t="shared" si="1"/>
        <v>1</v>
      </c>
      <c r="K36">
        <f t="shared" si="2"/>
        <v>0</v>
      </c>
      <c r="L36">
        <f t="shared" si="3"/>
        <v>4</v>
      </c>
      <c r="M36">
        <f t="shared" si="4"/>
        <v>0</v>
      </c>
      <c r="N36">
        <v>2</v>
      </c>
      <c r="O36">
        <v>11.35</v>
      </c>
      <c r="P36">
        <v>2.5</v>
      </c>
      <c r="Q36" s="5">
        <f t="shared" si="5"/>
        <v>0.22026431718061676</v>
      </c>
      <c r="R36" s="5">
        <f t="shared" si="6"/>
        <v>0.16338839047442422</v>
      </c>
      <c r="S36" s="10">
        <f t="shared" si="7"/>
        <v>2.7814300242005734</v>
      </c>
      <c r="T36" s="12">
        <f t="shared" si="8"/>
        <v>1.8544582318847147</v>
      </c>
      <c r="U36" s="10">
        <f t="shared" si="9"/>
        <v>2.3179441280426438</v>
      </c>
      <c r="W36" s="29" t="s">
        <v>9</v>
      </c>
      <c r="X36" s="22">
        <v>3.2551315789473687</v>
      </c>
      <c r="Y36" s="30">
        <v>0.1668972863511346</v>
      </c>
      <c r="AA36" s="29">
        <v>4</v>
      </c>
      <c r="AB36" s="22">
        <v>28.613513513513503</v>
      </c>
      <c r="AC36" s="24">
        <v>4.1354054054054048</v>
      </c>
      <c r="AD36" s="30">
        <v>0.1459490063935133</v>
      </c>
    </row>
    <row r="37" spans="1:30" ht="16" thickBot="1" x14ac:dyDescent="0.25">
      <c r="A37" t="s">
        <v>11</v>
      </c>
      <c r="B37" t="s">
        <v>8</v>
      </c>
      <c r="C37" t="s">
        <v>9</v>
      </c>
      <c r="D37" t="s">
        <v>10</v>
      </c>
      <c r="E37">
        <v>2</v>
      </c>
      <c r="F37">
        <v>10.27</v>
      </c>
      <c r="G37">
        <v>1.71</v>
      </c>
      <c r="H37" s="5">
        <f t="shared" si="0"/>
        <v>0.1665043816942551</v>
      </c>
      <c r="J37" s="11">
        <f t="shared" si="1"/>
        <v>0</v>
      </c>
      <c r="K37">
        <f t="shared" si="2"/>
        <v>0</v>
      </c>
      <c r="L37">
        <f t="shared" si="3"/>
        <v>7</v>
      </c>
      <c r="M37">
        <f t="shared" si="4"/>
        <v>1</v>
      </c>
      <c r="N37">
        <v>2</v>
      </c>
      <c r="O37">
        <v>11.38</v>
      </c>
      <c r="P37">
        <v>2</v>
      </c>
      <c r="Q37" s="5">
        <f t="shared" si="5"/>
        <v>0.17574692442882248</v>
      </c>
      <c r="R37" s="5">
        <f t="shared" si="6"/>
        <v>0.16182265520985073</v>
      </c>
      <c r="S37" s="10">
        <f t="shared" si="7"/>
        <v>3.0043163729662368</v>
      </c>
      <c r="T37" s="12">
        <f t="shared" si="8"/>
        <v>1.8415418162881014</v>
      </c>
      <c r="U37" s="10">
        <f t="shared" si="9"/>
        <v>2.4229290946271691</v>
      </c>
      <c r="W37" s="31" t="s">
        <v>42</v>
      </c>
      <c r="X37" s="34">
        <v>2.9982786885245889</v>
      </c>
      <c r="Y37" s="33">
        <v>0.16080258172250464</v>
      </c>
      <c r="AA37" s="29">
        <v>5</v>
      </c>
      <c r="AB37" s="22">
        <v>30.068000000000001</v>
      </c>
      <c r="AC37" s="24">
        <v>4.0280000000000005</v>
      </c>
      <c r="AD37" s="30">
        <v>0.14149548965142025</v>
      </c>
    </row>
    <row r="38" spans="1:30" x14ac:dyDescent="0.2">
      <c r="A38" t="s">
        <v>11</v>
      </c>
      <c r="B38" t="s">
        <v>8</v>
      </c>
      <c r="C38" t="s">
        <v>23</v>
      </c>
      <c r="D38" t="s">
        <v>24</v>
      </c>
      <c r="E38">
        <v>2</v>
      </c>
      <c r="F38">
        <v>9.7799999999999994</v>
      </c>
      <c r="G38">
        <v>1.73</v>
      </c>
      <c r="H38" s="5">
        <f t="shared" si="0"/>
        <v>0.17689161554192229</v>
      </c>
      <c r="J38" s="11">
        <f t="shared" si="1"/>
        <v>0</v>
      </c>
      <c r="K38">
        <f t="shared" si="2"/>
        <v>0</v>
      </c>
      <c r="L38">
        <f t="shared" si="3"/>
        <v>4</v>
      </c>
      <c r="M38">
        <f t="shared" si="4"/>
        <v>0</v>
      </c>
      <c r="N38">
        <v>2</v>
      </c>
      <c r="O38">
        <v>11.59</v>
      </c>
      <c r="P38">
        <v>1.5</v>
      </c>
      <c r="Q38" s="5">
        <f t="shared" si="5"/>
        <v>0.12942191544434858</v>
      </c>
      <c r="R38" s="5">
        <f t="shared" si="6"/>
        <v>0.16162035260949875</v>
      </c>
      <c r="S38" s="10">
        <f t="shared" si="7"/>
        <v>2.8326639359071408</v>
      </c>
      <c r="T38" s="12">
        <f t="shared" si="8"/>
        <v>1.8731798867440905</v>
      </c>
      <c r="U38" s="10">
        <f t="shared" si="9"/>
        <v>2.3529219113256157</v>
      </c>
      <c r="AA38" s="29">
        <v>6</v>
      </c>
      <c r="AB38" s="22">
        <v>34.83</v>
      </c>
      <c r="AC38" s="24">
        <v>5.2249999999999996</v>
      </c>
      <c r="AD38" s="30">
        <v>0.15622920072028382</v>
      </c>
    </row>
    <row r="39" spans="1:30" ht="16" thickBot="1" x14ac:dyDescent="0.25">
      <c r="A39" t="s">
        <v>11</v>
      </c>
      <c r="B39" t="s">
        <v>8</v>
      </c>
      <c r="C39" t="s">
        <v>21</v>
      </c>
      <c r="D39" t="s">
        <v>10</v>
      </c>
      <c r="E39">
        <v>2</v>
      </c>
      <c r="F39">
        <v>17.82</v>
      </c>
      <c r="G39">
        <v>1.75</v>
      </c>
      <c r="H39" s="5">
        <f t="shared" si="0"/>
        <v>9.8204264870931535E-2</v>
      </c>
      <c r="J39" s="11">
        <f t="shared" si="1"/>
        <v>0</v>
      </c>
      <c r="K39">
        <f t="shared" si="2"/>
        <v>0</v>
      </c>
      <c r="L39">
        <f t="shared" si="3"/>
        <v>6</v>
      </c>
      <c r="M39">
        <f t="shared" si="4"/>
        <v>1</v>
      </c>
      <c r="N39">
        <v>2</v>
      </c>
      <c r="O39">
        <v>11.61</v>
      </c>
      <c r="P39">
        <v>3.39</v>
      </c>
      <c r="Q39" s="5">
        <f t="shared" si="5"/>
        <v>0.29198966408268734</v>
      </c>
      <c r="R39" s="5">
        <f t="shared" si="6"/>
        <v>0.15907354121717945</v>
      </c>
      <c r="S39" s="10">
        <f t="shared" si="7"/>
        <v>2.9519107468319357</v>
      </c>
      <c r="T39" s="12">
        <f t="shared" si="8"/>
        <v>1.8468438135314533</v>
      </c>
      <c r="U39" s="10">
        <f t="shared" si="9"/>
        <v>2.3993772801816946</v>
      </c>
      <c r="AA39" s="31" t="s">
        <v>42</v>
      </c>
      <c r="AB39" s="34">
        <v>19.785942622950824</v>
      </c>
      <c r="AC39" s="35">
        <v>2.998278688524592</v>
      </c>
      <c r="AD39" s="33">
        <v>0.16080258172250472</v>
      </c>
    </row>
    <row r="40" spans="1:30" x14ac:dyDescent="0.2">
      <c r="A40" t="s">
        <v>11</v>
      </c>
      <c r="B40" t="s">
        <v>22</v>
      </c>
      <c r="C40" t="s">
        <v>21</v>
      </c>
      <c r="D40" t="s">
        <v>10</v>
      </c>
      <c r="E40">
        <v>2</v>
      </c>
      <c r="F40">
        <v>11.24</v>
      </c>
      <c r="G40">
        <v>1.76</v>
      </c>
      <c r="H40" s="5">
        <f t="shared" si="0"/>
        <v>0.15658362989323843</v>
      </c>
      <c r="J40" s="11">
        <f t="shared" si="1"/>
        <v>0</v>
      </c>
      <c r="K40">
        <f t="shared" si="2"/>
        <v>1</v>
      </c>
      <c r="L40">
        <f t="shared" si="3"/>
        <v>6</v>
      </c>
      <c r="M40">
        <f t="shared" si="4"/>
        <v>1</v>
      </c>
      <c r="N40">
        <v>2</v>
      </c>
      <c r="O40">
        <v>11.69</v>
      </c>
      <c r="P40">
        <v>2.31</v>
      </c>
      <c r="Q40" s="5">
        <f t="shared" si="5"/>
        <v>0.19760479041916168</v>
      </c>
      <c r="R40" s="5">
        <f t="shared" si="6"/>
        <v>0.15984705770871196</v>
      </c>
      <c r="S40" s="10">
        <f t="shared" si="7"/>
        <v>2.9552818213886538</v>
      </c>
      <c r="T40" s="12">
        <f t="shared" si="8"/>
        <v>1.8686121046148427</v>
      </c>
      <c r="U40" s="10">
        <f t="shared" si="9"/>
        <v>2.411946963001748</v>
      </c>
      <c r="V40">
        <v>6</v>
      </c>
      <c r="W40" t="s">
        <v>31</v>
      </c>
    </row>
    <row r="41" spans="1:30" x14ac:dyDescent="0.2">
      <c r="A41" t="s">
        <v>7</v>
      </c>
      <c r="B41" t="s">
        <v>8</v>
      </c>
      <c r="C41" t="s">
        <v>23</v>
      </c>
      <c r="D41" t="s">
        <v>24</v>
      </c>
      <c r="E41">
        <v>2</v>
      </c>
      <c r="F41">
        <v>12.43</v>
      </c>
      <c r="G41">
        <v>1.8</v>
      </c>
      <c r="H41" s="5">
        <f t="shared" si="0"/>
        <v>0.14481094127111827</v>
      </c>
      <c r="J41" s="11">
        <f t="shared" si="1"/>
        <v>1</v>
      </c>
      <c r="K41">
        <f t="shared" si="2"/>
        <v>0</v>
      </c>
      <c r="L41">
        <f t="shared" si="3"/>
        <v>4</v>
      </c>
      <c r="M41">
        <f t="shared" si="4"/>
        <v>0</v>
      </c>
      <c r="N41">
        <v>2</v>
      </c>
      <c r="O41">
        <v>11.87</v>
      </c>
      <c r="P41">
        <v>1.63</v>
      </c>
      <c r="Q41" s="5">
        <f t="shared" si="5"/>
        <v>0.13732097725358045</v>
      </c>
      <c r="R41" s="5">
        <f t="shared" si="6"/>
        <v>0.16338839047442422</v>
      </c>
      <c r="S41" s="10">
        <f t="shared" si="7"/>
        <v>2.7814300242005734</v>
      </c>
      <c r="T41" s="12">
        <f t="shared" si="8"/>
        <v>1.9394201949314154</v>
      </c>
      <c r="U41" s="10">
        <f t="shared" si="9"/>
        <v>2.3604251095659943</v>
      </c>
      <c r="W41" t="s">
        <v>61</v>
      </c>
    </row>
    <row r="42" spans="1:30" x14ac:dyDescent="0.2">
      <c r="A42" t="s">
        <v>7</v>
      </c>
      <c r="B42" t="s">
        <v>8</v>
      </c>
      <c r="C42" t="s">
        <v>23</v>
      </c>
      <c r="D42" t="s">
        <v>24</v>
      </c>
      <c r="E42">
        <v>1</v>
      </c>
      <c r="F42">
        <v>10.07</v>
      </c>
      <c r="G42">
        <v>1.83</v>
      </c>
      <c r="H42" s="5">
        <f t="shared" si="0"/>
        <v>0.18172790466732869</v>
      </c>
      <c r="J42" s="11">
        <f t="shared" si="1"/>
        <v>1</v>
      </c>
      <c r="K42">
        <f t="shared" si="2"/>
        <v>0</v>
      </c>
      <c r="L42">
        <f t="shared" si="3"/>
        <v>4</v>
      </c>
      <c r="M42">
        <f t="shared" si="4"/>
        <v>0</v>
      </c>
      <c r="N42">
        <v>2</v>
      </c>
      <c r="O42">
        <v>12.02</v>
      </c>
      <c r="P42">
        <v>1.97</v>
      </c>
      <c r="Q42" s="5">
        <f t="shared" si="5"/>
        <v>0.16389351081530781</v>
      </c>
      <c r="R42" s="5">
        <f t="shared" si="6"/>
        <v>0.16338839047442422</v>
      </c>
      <c r="S42" s="10">
        <f t="shared" si="7"/>
        <v>2.552468485739035</v>
      </c>
      <c r="T42" s="12">
        <f t="shared" si="8"/>
        <v>1.9639284535025789</v>
      </c>
      <c r="U42" s="10">
        <f t="shared" si="9"/>
        <v>2.2581984696208068</v>
      </c>
      <c r="W42" t="s">
        <v>62</v>
      </c>
    </row>
    <row r="43" spans="1:30" x14ac:dyDescent="0.2">
      <c r="A43" t="s">
        <v>11</v>
      </c>
      <c r="B43" t="s">
        <v>22</v>
      </c>
      <c r="C43" t="s">
        <v>25</v>
      </c>
      <c r="D43" t="s">
        <v>24</v>
      </c>
      <c r="E43">
        <v>1</v>
      </c>
      <c r="F43">
        <v>8.58</v>
      </c>
      <c r="G43">
        <v>1.92</v>
      </c>
      <c r="H43" s="5">
        <f t="shared" si="0"/>
        <v>0.22377622377622378</v>
      </c>
      <c r="J43" s="11">
        <f t="shared" si="1"/>
        <v>0</v>
      </c>
      <c r="K43">
        <f t="shared" si="2"/>
        <v>1</v>
      </c>
      <c r="L43">
        <f t="shared" si="3"/>
        <v>5</v>
      </c>
      <c r="M43">
        <f t="shared" si="4"/>
        <v>0</v>
      </c>
      <c r="N43">
        <v>2</v>
      </c>
      <c r="O43">
        <v>12.03</v>
      </c>
      <c r="P43">
        <v>1.5</v>
      </c>
      <c r="Q43" s="5">
        <f t="shared" si="5"/>
        <v>0.12468827930174564</v>
      </c>
      <c r="R43" s="5">
        <f t="shared" si="6"/>
        <v>0.16412134805439765</v>
      </c>
      <c r="S43" s="10">
        <f t="shared" si="7"/>
        <v>2.5997305178427279</v>
      </c>
      <c r="T43" s="12">
        <f t="shared" si="8"/>
        <v>1.9743798170944036</v>
      </c>
      <c r="U43" s="10">
        <f t="shared" si="9"/>
        <v>2.2870551674685657</v>
      </c>
      <c r="W43" t="s">
        <v>63</v>
      </c>
    </row>
    <row r="44" spans="1:30" x14ac:dyDescent="0.2">
      <c r="A44" t="s">
        <v>11</v>
      </c>
      <c r="B44" t="s">
        <v>8</v>
      </c>
      <c r="C44" t="s">
        <v>9</v>
      </c>
      <c r="D44" t="s">
        <v>10</v>
      </c>
      <c r="E44">
        <v>2</v>
      </c>
      <c r="F44">
        <v>15.04</v>
      </c>
      <c r="G44">
        <v>1.96</v>
      </c>
      <c r="H44" s="5">
        <f t="shared" si="0"/>
        <v>0.13031914893617022</v>
      </c>
      <c r="J44" s="11">
        <f t="shared" si="1"/>
        <v>0</v>
      </c>
      <c r="K44">
        <f t="shared" si="2"/>
        <v>0</v>
      </c>
      <c r="L44">
        <f t="shared" si="3"/>
        <v>7</v>
      </c>
      <c r="M44">
        <f t="shared" si="4"/>
        <v>1</v>
      </c>
      <c r="N44">
        <v>2</v>
      </c>
      <c r="O44">
        <v>12.16</v>
      </c>
      <c r="P44">
        <v>2.2000000000000002</v>
      </c>
      <c r="Q44" s="5">
        <f t="shared" si="5"/>
        <v>0.18092105263157895</v>
      </c>
      <c r="R44" s="5">
        <f t="shared" si="6"/>
        <v>0.16182265520985073</v>
      </c>
      <c r="S44" s="10">
        <f t="shared" si="7"/>
        <v>3.0043163729662368</v>
      </c>
      <c r="T44" s="12">
        <f t="shared" si="8"/>
        <v>1.9677634873517849</v>
      </c>
      <c r="U44" s="10">
        <f t="shared" si="9"/>
        <v>2.486039930159011</v>
      </c>
      <c r="W44" t="s">
        <v>64</v>
      </c>
    </row>
    <row r="45" spans="1:30" x14ac:dyDescent="0.2">
      <c r="A45" t="s">
        <v>11</v>
      </c>
      <c r="B45" t="s">
        <v>8</v>
      </c>
      <c r="C45" t="s">
        <v>21</v>
      </c>
      <c r="D45" t="s">
        <v>10</v>
      </c>
      <c r="E45">
        <v>2</v>
      </c>
      <c r="F45">
        <v>12.02</v>
      </c>
      <c r="G45">
        <v>1.97</v>
      </c>
      <c r="H45" s="5">
        <f t="shared" si="0"/>
        <v>0.16389351081530781</v>
      </c>
      <c r="J45" s="11">
        <f t="shared" si="1"/>
        <v>0</v>
      </c>
      <c r="K45">
        <f t="shared" si="2"/>
        <v>0</v>
      </c>
      <c r="L45">
        <f t="shared" si="3"/>
        <v>6</v>
      </c>
      <c r="M45">
        <f t="shared" si="4"/>
        <v>1</v>
      </c>
      <c r="N45">
        <v>2</v>
      </c>
      <c r="O45">
        <v>12.26</v>
      </c>
      <c r="P45">
        <v>2</v>
      </c>
      <c r="Q45" s="5">
        <f t="shared" si="5"/>
        <v>0.16313213703099511</v>
      </c>
      <c r="R45" s="5">
        <f t="shared" si="6"/>
        <v>0.15907354121717945</v>
      </c>
      <c r="S45" s="10">
        <f t="shared" si="7"/>
        <v>2.9519107468319357</v>
      </c>
      <c r="T45" s="12">
        <f t="shared" si="8"/>
        <v>1.9502416153226201</v>
      </c>
      <c r="U45" s="10">
        <f t="shared" si="9"/>
        <v>2.4510761810772781</v>
      </c>
      <c r="AB45" t="s">
        <v>68</v>
      </c>
    </row>
    <row r="46" spans="1:30" x14ac:dyDescent="0.2">
      <c r="A46" t="s">
        <v>11</v>
      </c>
      <c r="B46" t="s">
        <v>22</v>
      </c>
      <c r="C46" t="s">
        <v>21</v>
      </c>
      <c r="D46" t="s">
        <v>10</v>
      </c>
      <c r="E46">
        <v>2</v>
      </c>
      <c r="F46">
        <v>11.02</v>
      </c>
      <c r="G46">
        <v>1.98</v>
      </c>
      <c r="H46" s="5">
        <f t="shared" si="0"/>
        <v>0.17967332123411978</v>
      </c>
      <c r="J46" s="11">
        <f t="shared" si="1"/>
        <v>0</v>
      </c>
      <c r="K46">
        <f t="shared" si="2"/>
        <v>1</v>
      </c>
      <c r="L46">
        <f t="shared" si="3"/>
        <v>6</v>
      </c>
      <c r="M46">
        <f t="shared" si="4"/>
        <v>1</v>
      </c>
      <c r="N46">
        <v>2</v>
      </c>
      <c r="O46">
        <v>12.43</v>
      </c>
      <c r="P46">
        <v>1.8</v>
      </c>
      <c r="Q46" s="5">
        <f t="shared" si="5"/>
        <v>0.14481094127111827</v>
      </c>
      <c r="R46" s="5">
        <f t="shared" si="6"/>
        <v>0.15984705770871196</v>
      </c>
      <c r="S46" s="10">
        <f t="shared" si="7"/>
        <v>2.9552818213886538</v>
      </c>
      <c r="T46" s="12">
        <f t="shared" si="8"/>
        <v>1.9868989273192896</v>
      </c>
      <c r="U46" s="10">
        <f t="shared" si="9"/>
        <v>2.4710903743539716</v>
      </c>
      <c r="AB46" t="s">
        <v>69</v>
      </c>
    </row>
    <row r="47" spans="1:30" x14ac:dyDescent="0.2">
      <c r="A47" t="s">
        <v>11</v>
      </c>
      <c r="B47" t="s">
        <v>8</v>
      </c>
      <c r="C47" t="s">
        <v>9</v>
      </c>
      <c r="D47" t="s">
        <v>10</v>
      </c>
      <c r="E47">
        <v>2</v>
      </c>
      <c r="F47">
        <v>8.77</v>
      </c>
      <c r="G47">
        <v>2</v>
      </c>
      <c r="H47" s="5">
        <f t="shared" si="0"/>
        <v>0.22805017103762829</v>
      </c>
      <c r="J47" s="11">
        <f t="shared" si="1"/>
        <v>0</v>
      </c>
      <c r="K47">
        <f t="shared" si="2"/>
        <v>0</v>
      </c>
      <c r="L47">
        <f t="shared" si="3"/>
        <v>7</v>
      </c>
      <c r="M47">
        <f t="shared" si="4"/>
        <v>1</v>
      </c>
      <c r="N47">
        <v>2</v>
      </c>
      <c r="O47">
        <v>12.46</v>
      </c>
      <c r="P47">
        <v>1.5</v>
      </c>
      <c r="Q47" s="5">
        <f t="shared" si="5"/>
        <v>0.1203852327447833</v>
      </c>
      <c r="R47" s="5">
        <f t="shared" si="6"/>
        <v>0.16182265520985073</v>
      </c>
      <c r="S47" s="10">
        <f t="shared" si="7"/>
        <v>3.0043163729662368</v>
      </c>
      <c r="T47" s="12">
        <f t="shared" si="8"/>
        <v>2.0163102839147404</v>
      </c>
      <c r="U47" s="10">
        <f t="shared" si="9"/>
        <v>2.5103133284404886</v>
      </c>
      <c r="AB47" t="s">
        <v>70</v>
      </c>
    </row>
    <row r="48" spans="1:30" x14ac:dyDescent="0.2">
      <c r="A48" t="s">
        <v>11</v>
      </c>
      <c r="B48" t="s">
        <v>8</v>
      </c>
      <c r="C48" t="s">
        <v>21</v>
      </c>
      <c r="D48" t="s">
        <v>10</v>
      </c>
      <c r="E48">
        <v>2</v>
      </c>
      <c r="F48">
        <v>13.37</v>
      </c>
      <c r="G48">
        <v>2</v>
      </c>
      <c r="H48" s="5">
        <f t="shared" si="0"/>
        <v>0.14958863126402394</v>
      </c>
      <c r="J48" s="11">
        <f t="shared" si="1"/>
        <v>0</v>
      </c>
      <c r="K48">
        <f t="shared" si="2"/>
        <v>0</v>
      </c>
      <c r="L48">
        <f t="shared" si="3"/>
        <v>6</v>
      </c>
      <c r="M48">
        <f t="shared" si="4"/>
        <v>1</v>
      </c>
      <c r="N48">
        <v>2</v>
      </c>
      <c r="O48">
        <v>12.48</v>
      </c>
      <c r="P48">
        <v>2.52</v>
      </c>
      <c r="Q48" s="5">
        <f t="shared" si="5"/>
        <v>0.20192307692307693</v>
      </c>
      <c r="R48" s="5">
        <f t="shared" si="6"/>
        <v>0.15907354121717945</v>
      </c>
      <c r="S48" s="10">
        <f t="shared" si="7"/>
        <v>2.9519107468319357</v>
      </c>
      <c r="T48" s="12">
        <f t="shared" si="8"/>
        <v>1.9852377943903996</v>
      </c>
      <c r="U48" s="10">
        <f t="shared" si="9"/>
        <v>2.4685742706111675</v>
      </c>
    </row>
    <row r="49" spans="1:24" x14ac:dyDescent="0.2">
      <c r="A49" t="s">
        <v>11</v>
      </c>
      <c r="B49" t="s">
        <v>8</v>
      </c>
      <c r="C49" t="s">
        <v>21</v>
      </c>
      <c r="D49" t="s">
        <v>10</v>
      </c>
      <c r="E49">
        <v>2</v>
      </c>
      <c r="F49">
        <v>12.69</v>
      </c>
      <c r="G49">
        <v>2</v>
      </c>
      <c r="H49" s="5">
        <f t="shared" si="0"/>
        <v>0.15760441292356187</v>
      </c>
      <c r="J49" s="11">
        <f t="shared" si="1"/>
        <v>0</v>
      </c>
      <c r="K49">
        <f t="shared" si="2"/>
        <v>0</v>
      </c>
      <c r="L49">
        <f t="shared" si="3"/>
        <v>6</v>
      </c>
      <c r="M49">
        <f t="shared" si="4"/>
        <v>1</v>
      </c>
      <c r="N49">
        <v>2</v>
      </c>
      <c r="O49">
        <v>12.54</v>
      </c>
      <c r="P49">
        <v>2.5</v>
      </c>
      <c r="Q49" s="5">
        <f t="shared" si="5"/>
        <v>0.19936204146730463</v>
      </c>
      <c r="R49" s="5">
        <f t="shared" si="6"/>
        <v>0.15907354121717945</v>
      </c>
      <c r="S49" s="10">
        <f t="shared" si="7"/>
        <v>2.9519107468319357</v>
      </c>
      <c r="T49" s="12">
        <f t="shared" si="8"/>
        <v>1.9947822068634302</v>
      </c>
      <c r="U49" s="10">
        <f t="shared" si="9"/>
        <v>2.4733464768476829</v>
      </c>
    </row>
    <row r="50" spans="1:24" x14ac:dyDescent="0.2">
      <c r="A50" t="s">
        <v>11</v>
      </c>
      <c r="B50" t="s">
        <v>22</v>
      </c>
      <c r="C50" t="s">
        <v>21</v>
      </c>
      <c r="D50" t="s">
        <v>10</v>
      </c>
      <c r="E50">
        <v>2</v>
      </c>
      <c r="F50">
        <v>13.81</v>
      </c>
      <c r="G50">
        <v>2</v>
      </c>
      <c r="H50" s="5">
        <f t="shared" si="0"/>
        <v>0.14482259232440259</v>
      </c>
      <c r="J50" s="11">
        <f t="shared" si="1"/>
        <v>0</v>
      </c>
      <c r="K50">
        <f t="shared" si="2"/>
        <v>1</v>
      </c>
      <c r="L50">
        <f t="shared" si="3"/>
        <v>6</v>
      </c>
      <c r="M50">
        <f t="shared" si="4"/>
        <v>1</v>
      </c>
      <c r="N50">
        <v>2</v>
      </c>
      <c r="O50">
        <v>12.6</v>
      </c>
      <c r="P50">
        <v>1</v>
      </c>
      <c r="Q50" s="5">
        <f t="shared" si="5"/>
        <v>7.9365079365079361E-2</v>
      </c>
      <c r="R50" s="5">
        <f t="shared" si="6"/>
        <v>0.15984705770871196</v>
      </c>
      <c r="S50" s="10">
        <f t="shared" si="7"/>
        <v>2.9552818213886538</v>
      </c>
      <c r="T50" s="12">
        <f t="shared" si="8"/>
        <v>2.0140729271297708</v>
      </c>
      <c r="U50" s="10">
        <f t="shared" si="9"/>
        <v>2.4846773742592125</v>
      </c>
    </row>
    <row r="51" spans="1:24" x14ac:dyDescent="0.2">
      <c r="A51" t="s">
        <v>11</v>
      </c>
      <c r="B51" t="s">
        <v>8</v>
      </c>
      <c r="C51" t="s">
        <v>23</v>
      </c>
      <c r="D51" t="s">
        <v>24</v>
      </c>
      <c r="E51">
        <v>2</v>
      </c>
      <c r="F51">
        <v>13.03</v>
      </c>
      <c r="G51">
        <v>2</v>
      </c>
      <c r="H51" s="5">
        <f t="shared" si="0"/>
        <v>0.15349194167306218</v>
      </c>
      <c r="J51" s="11">
        <f t="shared" si="1"/>
        <v>0</v>
      </c>
      <c r="K51">
        <f t="shared" si="2"/>
        <v>0</v>
      </c>
      <c r="L51">
        <f t="shared" si="3"/>
        <v>4</v>
      </c>
      <c r="M51">
        <f t="shared" si="4"/>
        <v>0</v>
      </c>
      <c r="N51">
        <v>2</v>
      </c>
      <c r="O51">
        <v>12.66</v>
      </c>
      <c r="P51">
        <v>2.5</v>
      </c>
      <c r="Q51" s="5">
        <f t="shared" si="5"/>
        <v>0.19747235387045814</v>
      </c>
      <c r="R51" s="5">
        <f t="shared" si="6"/>
        <v>0.16162035260949875</v>
      </c>
      <c r="S51" s="10">
        <f t="shared" si="7"/>
        <v>2.8326639359071408</v>
      </c>
      <c r="T51" s="12">
        <f t="shared" si="8"/>
        <v>2.0461136640362541</v>
      </c>
      <c r="U51" s="10">
        <f t="shared" si="9"/>
        <v>2.4393887999716974</v>
      </c>
    </row>
    <row r="52" spans="1:24" x14ac:dyDescent="0.2">
      <c r="A52" t="s">
        <v>11</v>
      </c>
      <c r="B52" t="s">
        <v>8</v>
      </c>
      <c r="C52" t="s">
        <v>23</v>
      </c>
      <c r="D52" t="s">
        <v>24</v>
      </c>
      <c r="E52">
        <v>2</v>
      </c>
      <c r="F52">
        <v>15.95</v>
      </c>
      <c r="G52">
        <v>2</v>
      </c>
      <c r="H52" s="5">
        <f t="shared" si="0"/>
        <v>0.12539184952978058</v>
      </c>
      <c r="J52" s="11">
        <f t="shared" si="1"/>
        <v>0</v>
      </c>
      <c r="K52">
        <f t="shared" si="2"/>
        <v>0</v>
      </c>
      <c r="L52">
        <f t="shared" si="3"/>
        <v>4</v>
      </c>
      <c r="M52">
        <f t="shared" si="4"/>
        <v>0</v>
      </c>
      <c r="N52">
        <v>2</v>
      </c>
      <c r="O52">
        <v>12.69</v>
      </c>
      <c r="P52">
        <v>2</v>
      </c>
      <c r="Q52" s="5">
        <f t="shared" si="5"/>
        <v>0.15760441292356187</v>
      </c>
      <c r="R52" s="5">
        <f t="shared" si="6"/>
        <v>0.16162035260949875</v>
      </c>
      <c r="S52" s="10">
        <f t="shared" si="7"/>
        <v>2.8326639359071408</v>
      </c>
      <c r="T52" s="12">
        <f t="shared" si="8"/>
        <v>2.0509622746145393</v>
      </c>
      <c r="U52" s="10">
        <f t="shared" si="9"/>
        <v>2.4418131052608398</v>
      </c>
    </row>
    <row r="53" spans="1:24" x14ac:dyDescent="0.2">
      <c r="A53" t="s">
        <v>7</v>
      </c>
      <c r="B53" t="s">
        <v>8</v>
      </c>
      <c r="C53" t="s">
        <v>23</v>
      </c>
      <c r="D53" t="s">
        <v>24</v>
      </c>
      <c r="E53">
        <v>2</v>
      </c>
      <c r="F53">
        <v>14.52</v>
      </c>
      <c r="G53">
        <v>2</v>
      </c>
      <c r="H53" s="5">
        <f t="shared" si="0"/>
        <v>0.13774104683195593</v>
      </c>
      <c r="J53" s="11">
        <f t="shared" si="1"/>
        <v>1</v>
      </c>
      <c r="K53">
        <f t="shared" si="2"/>
        <v>0</v>
      </c>
      <c r="L53">
        <f t="shared" si="3"/>
        <v>4</v>
      </c>
      <c r="M53">
        <f t="shared" si="4"/>
        <v>0</v>
      </c>
      <c r="N53">
        <v>2</v>
      </c>
      <c r="O53">
        <v>12.74</v>
      </c>
      <c r="P53">
        <v>2.0099999999999998</v>
      </c>
      <c r="Q53" s="5">
        <f t="shared" si="5"/>
        <v>0.15777080062794346</v>
      </c>
      <c r="R53" s="5">
        <f t="shared" si="6"/>
        <v>0.16338839047442422</v>
      </c>
      <c r="S53" s="10">
        <f t="shared" si="7"/>
        <v>2.7814300242005734</v>
      </c>
      <c r="T53" s="12">
        <f t="shared" si="8"/>
        <v>2.0815680946441644</v>
      </c>
      <c r="U53" s="10">
        <f t="shared" si="9"/>
        <v>2.4314990594223689</v>
      </c>
    </row>
    <row r="54" spans="1:24" x14ac:dyDescent="0.2">
      <c r="A54" t="s">
        <v>7</v>
      </c>
      <c r="B54" t="s">
        <v>8</v>
      </c>
      <c r="C54" t="s">
        <v>23</v>
      </c>
      <c r="D54" t="s">
        <v>24</v>
      </c>
      <c r="E54">
        <v>2</v>
      </c>
      <c r="F54">
        <v>11.38</v>
      </c>
      <c r="G54">
        <v>2</v>
      </c>
      <c r="H54" s="5">
        <f t="shared" si="0"/>
        <v>0.17574692442882248</v>
      </c>
      <c r="J54" s="11">
        <f t="shared" si="1"/>
        <v>1</v>
      </c>
      <c r="K54">
        <f t="shared" si="2"/>
        <v>0</v>
      </c>
      <c r="L54">
        <f t="shared" si="3"/>
        <v>4</v>
      </c>
      <c r="M54">
        <f t="shared" si="4"/>
        <v>0</v>
      </c>
      <c r="N54">
        <v>2</v>
      </c>
      <c r="O54">
        <v>12.76</v>
      </c>
      <c r="P54">
        <v>2.23</v>
      </c>
      <c r="Q54" s="5">
        <f t="shared" si="5"/>
        <v>0.17476489028213166</v>
      </c>
      <c r="R54" s="5">
        <f t="shared" si="6"/>
        <v>0.16338839047442422</v>
      </c>
      <c r="S54" s="10">
        <f t="shared" si="7"/>
        <v>2.7814300242005734</v>
      </c>
      <c r="T54" s="12">
        <f t="shared" si="8"/>
        <v>2.0848358624536529</v>
      </c>
      <c r="U54" s="10">
        <f t="shared" si="9"/>
        <v>2.4331329433271129</v>
      </c>
    </row>
    <row r="55" spans="1:24" x14ac:dyDescent="0.2">
      <c r="A55" t="s">
        <v>7</v>
      </c>
      <c r="B55" t="s">
        <v>8</v>
      </c>
      <c r="C55" t="s">
        <v>23</v>
      </c>
      <c r="D55" t="s">
        <v>24</v>
      </c>
      <c r="E55">
        <v>2</v>
      </c>
      <c r="F55">
        <v>12.26</v>
      </c>
      <c r="G55">
        <v>2</v>
      </c>
      <c r="H55" s="5">
        <f t="shared" si="0"/>
        <v>0.16313213703099511</v>
      </c>
      <c r="J55" s="11">
        <f t="shared" si="1"/>
        <v>1</v>
      </c>
      <c r="K55">
        <f t="shared" si="2"/>
        <v>0</v>
      </c>
      <c r="L55">
        <f t="shared" si="3"/>
        <v>4</v>
      </c>
      <c r="M55">
        <f t="shared" si="4"/>
        <v>0</v>
      </c>
      <c r="N55">
        <v>2</v>
      </c>
      <c r="O55">
        <v>12.9</v>
      </c>
      <c r="P55">
        <v>1.1000000000000001</v>
      </c>
      <c r="Q55" s="5">
        <f t="shared" si="5"/>
        <v>8.5271317829457363E-2</v>
      </c>
      <c r="R55" s="5">
        <f t="shared" si="6"/>
        <v>0.16338839047442422</v>
      </c>
      <c r="S55" s="10">
        <f t="shared" si="7"/>
        <v>2.7814300242005734</v>
      </c>
      <c r="T55" s="12">
        <f t="shared" si="8"/>
        <v>2.1077102371200724</v>
      </c>
      <c r="U55" s="10">
        <f t="shared" si="9"/>
        <v>2.4445701306603231</v>
      </c>
    </row>
    <row r="56" spans="1:24" x14ac:dyDescent="0.2">
      <c r="A56" t="s">
        <v>7</v>
      </c>
      <c r="B56" t="s">
        <v>8</v>
      </c>
      <c r="C56" t="s">
        <v>23</v>
      </c>
      <c r="D56" t="s">
        <v>24</v>
      </c>
      <c r="E56">
        <v>2</v>
      </c>
      <c r="F56">
        <v>10.33</v>
      </c>
      <c r="G56">
        <v>2</v>
      </c>
      <c r="H56" s="5">
        <f t="shared" si="0"/>
        <v>0.1936108422071636</v>
      </c>
      <c r="J56" s="11">
        <f t="shared" si="1"/>
        <v>1</v>
      </c>
      <c r="K56">
        <f t="shared" si="2"/>
        <v>0</v>
      </c>
      <c r="L56">
        <f t="shared" si="3"/>
        <v>4</v>
      </c>
      <c r="M56">
        <f t="shared" si="4"/>
        <v>0</v>
      </c>
      <c r="N56">
        <v>2</v>
      </c>
      <c r="O56">
        <v>13</v>
      </c>
      <c r="P56">
        <v>2</v>
      </c>
      <c r="Q56" s="5">
        <f t="shared" si="5"/>
        <v>0.15384615384615385</v>
      </c>
      <c r="R56" s="5">
        <f t="shared" si="6"/>
        <v>0.16338839047442422</v>
      </c>
      <c r="S56" s="10">
        <f t="shared" si="7"/>
        <v>2.7814300242005734</v>
      </c>
      <c r="T56" s="12">
        <f t="shared" si="8"/>
        <v>2.1240490761675148</v>
      </c>
      <c r="U56" s="10">
        <f t="shared" si="9"/>
        <v>2.4527395501840443</v>
      </c>
    </row>
    <row r="57" spans="1:24" x14ac:dyDescent="0.2">
      <c r="A57" t="s">
        <v>7</v>
      </c>
      <c r="B57" t="s">
        <v>8</v>
      </c>
      <c r="C57" t="s">
        <v>23</v>
      </c>
      <c r="D57" t="s">
        <v>24</v>
      </c>
      <c r="E57">
        <v>2</v>
      </c>
      <c r="F57">
        <v>14.15</v>
      </c>
      <c r="G57">
        <v>2</v>
      </c>
      <c r="H57" s="5">
        <f t="shared" si="0"/>
        <v>0.14134275618374559</v>
      </c>
      <c r="J57" s="11">
        <f t="shared" si="1"/>
        <v>1</v>
      </c>
      <c r="K57">
        <f t="shared" si="2"/>
        <v>0</v>
      </c>
      <c r="L57">
        <f t="shared" si="3"/>
        <v>4</v>
      </c>
      <c r="M57">
        <f t="shared" si="4"/>
        <v>0</v>
      </c>
      <c r="N57">
        <v>2</v>
      </c>
      <c r="O57">
        <v>13</v>
      </c>
      <c r="P57">
        <v>2</v>
      </c>
      <c r="Q57" s="5">
        <f t="shared" si="5"/>
        <v>0.15384615384615385</v>
      </c>
      <c r="R57" s="5">
        <f t="shared" si="6"/>
        <v>0.16338839047442422</v>
      </c>
      <c r="S57" s="10">
        <f t="shared" si="7"/>
        <v>2.7814300242005734</v>
      </c>
      <c r="T57" s="12">
        <f t="shared" si="8"/>
        <v>2.1240490761675148</v>
      </c>
      <c r="U57" s="10">
        <f t="shared" si="9"/>
        <v>2.4527395501840443</v>
      </c>
    </row>
    <row r="58" spans="1:24" x14ac:dyDescent="0.2">
      <c r="A58" t="s">
        <v>11</v>
      </c>
      <c r="B58" t="s">
        <v>22</v>
      </c>
      <c r="C58" t="s">
        <v>23</v>
      </c>
      <c r="D58" t="s">
        <v>24</v>
      </c>
      <c r="E58">
        <v>2</v>
      </c>
      <c r="F58">
        <v>16</v>
      </c>
      <c r="G58">
        <v>2</v>
      </c>
      <c r="H58" s="5">
        <f t="shared" si="0"/>
        <v>0.125</v>
      </c>
      <c r="J58" s="11">
        <f t="shared" si="1"/>
        <v>0</v>
      </c>
      <c r="K58">
        <f t="shared" si="2"/>
        <v>1</v>
      </c>
      <c r="L58">
        <f t="shared" si="3"/>
        <v>4</v>
      </c>
      <c r="M58">
        <f t="shared" si="4"/>
        <v>0</v>
      </c>
      <c r="N58">
        <v>2</v>
      </c>
      <c r="O58">
        <v>13.03</v>
      </c>
      <c r="P58">
        <v>2</v>
      </c>
      <c r="Q58" s="5">
        <f t="shared" si="5"/>
        <v>0.15349194167306218</v>
      </c>
      <c r="R58" s="5">
        <f t="shared" si="6"/>
        <v>0.16239386910103129</v>
      </c>
      <c r="S58" s="10">
        <f t="shared" si="7"/>
        <v>2.836035010463859</v>
      </c>
      <c r="T58" s="12">
        <f t="shared" si="8"/>
        <v>2.1159921143864375</v>
      </c>
      <c r="U58" s="10">
        <f t="shared" si="9"/>
        <v>2.4760135624251483</v>
      </c>
    </row>
    <row r="59" spans="1:24" x14ac:dyDescent="0.2">
      <c r="A59" t="s">
        <v>11</v>
      </c>
      <c r="B59" t="s">
        <v>8</v>
      </c>
      <c r="C59" t="s">
        <v>23</v>
      </c>
      <c r="D59" t="s">
        <v>24</v>
      </c>
      <c r="E59">
        <v>2</v>
      </c>
      <c r="F59">
        <v>7.51</v>
      </c>
      <c r="G59">
        <v>2</v>
      </c>
      <c r="H59" s="5">
        <f t="shared" si="0"/>
        <v>0.26631158455392812</v>
      </c>
      <c r="J59" s="11">
        <f t="shared" si="1"/>
        <v>0</v>
      </c>
      <c r="K59">
        <f t="shared" si="2"/>
        <v>0</v>
      </c>
      <c r="L59">
        <f t="shared" si="3"/>
        <v>4</v>
      </c>
      <c r="M59">
        <f t="shared" si="4"/>
        <v>0</v>
      </c>
      <c r="N59">
        <v>2</v>
      </c>
      <c r="O59">
        <v>13.13</v>
      </c>
      <c r="P59">
        <v>2</v>
      </c>
      <c r="Q59" s="5">
        <f t="shared" si="5"/>
        <v>0.15232292460015232</v>
      </c>
      <c r="R59" s="5">
        <f t="shared" si="6"/>
        <v>0.16162035260949875</v>
      </c>
      <c r="S59" s="10">
        <f t="shared" si="7"/>
        <v>2.8326639359071408</v>
      </c>
      <c r="T59" s="12">
        <f t="shared" si="8"/>
        <v>2.1220752297627188</v>
      </c>
      <c r="U59" s="10">
        <f t="shared" si="9"/>
        <v>2.47736958283493</v>
      </c>
    </row>
    <row r="60" spans="1:24" x14ac:dyDescent="0.2">
      <c r="A60" t="s">
        <v>11</v>
      </c>
      <c r="B60" t="s">
        <v>8</v>
      </c>
      <c r="C60" t="s">
        <v>9</v>
      </c>
      <c r="D60" t="s">
        <v>10</v>
      </c>
      <c r="E60">
        <v>2</v>
      </c>
      <c r="F60">
        <v>13.13</v>
      </c>
      <c r="G60">
        <v>2</v>
      </c>
      <c r="H60" s="5">
        <f t="shared" si="0"/>
        <v>0.15232292460015232</v>
      </c>
      <c r="J60" s="11">
        <f t="shared" si="1"/>
        <v>0</v>
      </c>
      <c r="K60">
        <f t="shared" si="2"/>
        <v>0</v>
      </c>
      <c r="L60">
        <f t="shared" si="3"/>
        <v>7</v>
      </c>
      <c r="M60">
        <f t="shared" si="4"/>
        <v>1</v>
      </c>
      <c r="N60">
        <v>2</v>
      </c>
      <c r="O60">
        <v>13.16</v>
      </c>
      <c r="P60">
        <v>2.75</v>
      </c>
      <c r="Q60" s="5">
        <f t="shared" si="5"/>
        <v>0.20896656534954408</v>
      </c>
      <c r="R60" s="5">
        <f t="shared" si="6"/>
        <v>0.16182265520985073</v>
      </c>
      <c r="S60" s="10">
        <f t="shared" si="7"/>
        <v>3.0043163729662368</v>
      </c>
      <c r="T60" s="12">
        <f t="shared" si="8"/>
        <v>2.1295861425616356</v>
      </c>
      <c r="U60" s="10">
        <f t="shared" si="9"/>
        <v>2.566951257763936</v>
      </c>
      <c r="V60">
        <v>7</v>
      </c>
      <c r="W60" s="2" t="s">
        <v>32</v>
      </c>
    </row>
    <row r="61" spans="1:24" x14ac:dyDescent="0.2">
      <c r="A61" t="s">
        <v>11</v>
      </c>
      <c r="B61" t="s">
        <v>8</v>
      </c>
      <c r="C61" t="s">
        <v>9</v>
      </c>
      <c r="D61" t="s">
        <v>10</v>
      </c>
      <c r="E61">
        <v>2</v>
      </c>
      <c r="F61">
        <v>13.81</v>
      </c>
      <c r="G61">
        <v>2</v>
      </c>
      <c r="H61" s="5">
        <f t="shared" si="0"/>
        <v>0.14482259232440259</v>
      </c>
      <c r="J61" s="11">
        <f t="shared" si="1"/>
        <v>0</v>
      </c>
      <c r="K61">
        <f t="shared" si="2"/>
        <v>0</v>
      </c>
      <c r="L61">
        <f t="shared" si="3"/>
        <v>7</v>
      </c>
      <c r="M61">
        <f t="shared" si="4"/>
        <v>1</v>
      </c>
      <c r="N61">
        <v>2</v>
      </c>
      <c r="O61">
        <v>13.27</v>
      </c>
      <c r="P61">
        <v>2.5</v>
      </c>
      <c r="Q61" s="5">
        <f t="shared" si="5"/>
        <v>0.18839487565938207</v>
      </c>
      <c r="R61" s="5">
        <f t="shared" si="6"/>
        <v>0.16182265520985073</v>
      </c>
      <c r="S61" s="10">
        <f t="shared" si="7"/>
        <v>3.0043163729662368</v>
      </c>
      <c r="T61" s="12">
        <f t="shared" si="8"/>
        <v>2.147386634634719</v>
      </c>
      <c r="U61" s="10">
        <f t="shared" si="9"/>
        <v>2.5758515038004779</v>
      </c>
      <c r="W61" t="s">
        <v>57</v>
      </c>
      <c r="X61">
        <f>SQRT(SUMXMY2(P2:P245, S2:S245))/COUNTA(P2:P245)</f>
        <v>8.5296791682463471E-2</v>
      </c>
    </row>
    <row r="62" spans="1:24" x14ac:dyDescent="0.2">
      <c r="A62" t="s">
        <v>7</v>
      </c>
      <c r="B62" t="s">
        <v>22</v>
      </c>
      <c r="C62" t="s">
        <v>21</v>
      </c>
      <c r="D62" t="s">
        <v>10</v>
      </c>
      <c r="E62">
        <v>2</v>
      </c>
      <c r="F62">
        <v>10.63</v>
      </c>
      <c r="G62">
        <v>2</v>
      </c>
      <c r="H62" s="5">
        <f t="shared" si="0"/>
        <v>0.18814675446848542</v>
      </c>
      <c r="J62" s="11">
        <f t="shared" si="1"/>
        <v>1</v>
      </c>
      <c r="K62">
        <f t="shared" si="2"/>
        <v>1</v>
      </c>
      <c r="L62">
        <f t="shared" si="3"/>
        <v>6</v>
      </c>
      <c r="M62">
        <f t="shared" si="4"/>
        <v>1</v>
      </c>
      <c r="N62">
        <v>2</v>
      </c>
      <c r="O62">
        <v>13.28</v>
      </c>
      <c r="P62">
        <v>2.72</v>
      </c>
      <c r="Q62" s="5">
        <f t="shared" si="5"/>
        <v>0.20481927710843376</v>
      </c>
      <c r="R62" s="5">
        <f t="shared" si="6"/>
        <v>0.16161509557363743</v>
      </c>
      <c r="S62" s="10">
        <f t="shared" si="7"/>
        <v>2.9040479096820868</v>
      </c>
      <c r="T62" s="12">
        <f t="shared" si="8"/>
        <v>2.1462484692179049</v>
      </c>
      <c r="U62" s="10">
        <f t="shared" si="9"/>
        <v>2.5251481894499959</v>
      </c>
      <c r="W62" t="s">
        <v>37</v>
      </c>
      <c r="X62" s="40">
        <f>SQRT(SUMXMY2(P2:P245, T2:T245))/COUNTA(P2:P245)</f>
        <v>7.309766707904311E-2</v>
      </c>
    </row>
    <row r="63" spans="1:24" x14ac:dyDescent="0.2">
      <c r="A63" t="s">
        <v>11</v>
      </c>
      <c r="B63" t="s">
        <v>22</v>
      </c>
      <c r="C63" t="s">
        <v>9</v>
      </c>
      <c r="D63" t="s">
        <v>10</v>
      </c>
      <c r="E63">
        <v>2</v>
      </c>
      <c r="F63">
        <v>17.89</v>
      </c>
      <c r="G63">
        <v>2</v>
      </c>
      <c r="H63" s="5">
        <f t="shared" si="0"/>
        <v>0.11179429849077696</v>
      </c>
      <c r="J63" s="11">
        <f t="shared" si="1"/>
        <v>0</v>
      </c>
      <c r="K63">
        <f t="shared" si="2"/>
        <v>1</v>
      </c>
      <c r="L63">
        <f t="shared" si="3"/>
        <v>7</v>
      </c>
      <c r="M63">
        <f t="shared" si="4"/>
        <v>1</v>
      </c>
      <c r="N63">
        <v>2</v>
      </c>
      <c r="O63">
        <v>13.37</v>
      </c>
      <c r="P63">
        <v>2</v>
      </c>
      <c r="Q63" s="5">
        <f t="shared" si="5"/>
        <v>0.14958863126402394</v>
      </c>
      <c r="R63" s="5">
        <f t="shared" si="6"/>
        <v>0.16259617170138324</v>
      </c>
      <c r="S63" s="10">
        <f t="shared" si="7"/>
        <v>3.0076874475229554</v>
      </c>
      <c r="T63" s="12">
        <f t="shared" si="8"/>
        <v>2.1739108156474938</v>
      </c>
      <c r="U63" s="10">
        <f t="shared" si="9"/>
        <v>2.5907991315852246</v>
      </c>
      <c r="W63" t="s">
        <v>71</v>
      </c>
      <c r="X63" s="40">
        <f>SQRT(SUMXMY2(P2:P245, U2:U245))/COUNTA(P2:P245)</f>
        <v>6.7060929327554059E-2</v>
      </c>
    </row>
    <row r="64" spans="1:24" x14ac:dyDescent="0.2">
      <c r="A64" t="s">
        <v>11</v>
      </c>
      <c r="B64" t="s">
        <v>22</v>
      </c>
      <c r="C64" t="s">
        <v>9</v>
      </c>
      <c r="D64" t="s">
        <v>10</v>
      </c>
      <c r="E64">
        <v>2</v>
      </c>
      <c r="F64">
        <v>14.48</v>
      </c>
      <c r="G64">
        <v>2</v>
      </c>
      <c r="H64" s="5">
        <f t="shared" si="0"/>
        <v>0.13812154696132597</v>
      </c>
      <c r="J64" s="11">
        <f t="shared" si="1"/>
        <v>0</v>
      </c>
      <c r="K64">
        <f t="shared" si="2"/>
        <v>1</v>
      </c>
      <c r="L64">
        <f t="shared" si="3"/>
        <v>7</v>
      </c>
      <c r="M64">
        <f t="shared" si="4"/>
        <v>1</v>
      </c>
      <c r="N64">
        <v>2</v>
      </c>
      <c r="O64">
        <v>13.39</v>
      </c>
      <c r="P64">
        <v>2.61</v>
      </c>
      <c r="Q64" s="5">
        <f t="shared" si="5"/>
        <v>0.19492158327109782</v>
      </c>
      <c r="R64" s="5">
        <f t="shared" si="6"/>
        <v>0.16259617170138324</v>
      </c>
      <c r="S64" s="10">
        <f t="shared" si="7"/>
        <v>3.0076874475229554</v>
      </c>
      <c r="T64" s="12">
        <f t="shared" si="8"/>
        <v>2.1771627390815218</v>
      </c>
      <c r="U64" s="10">
        <f t="shared" si="9"/>
        <v>2.5924250933022384</v>
      </c>
      <c r="W64" t="s">
        <v>73</v>
      </c>
    </row>
    <row r="65" spans="1:23" x14ac:dyDescent="0.2">
      <c r="A65" t="s">
        <v>11</v>
      </c>
      <c r="B65" t="s">
        <v>22</v>
      </c>
      <c r="C65" t="s">
        <v>23</v>
      </c>
      <c r="D65" t="s">
        <v>24</v>
      </c>
      <c r="E65">
        <v>2</v>
      </c>
      <c r="F65">
        <v>10.34</v>
      </c>
      <c r="G65">
        <v>2</v>
      </c>
      <c r="H65" s="5">
        <f t="shared" si="0"/>
        <v>0.19342359767891684</v>
      </c>
      <c r="J65" s="11">
        <f t="shared" si="1"/>
        <v>0</v>
      </c>
      <c r="K65">
        <f t="shared" si="2"/>
        <v>1</v>
      </c>
      <c r="L65">
        <f t="shared" si="3"/>
        <v>4</v>
      </c>
      <c r="M65">
        <f t="shared" si="4"/>
        <v>0</v>
      </c>
      <c r="N65">
        <v>2</v>
      </c>
      <c r="O65">
        <v>13.42</v>
      </c>
      <c r="P65">
        <v>3.48</v>
      </c>
      <c r="Q65" s="5">
        <f t="shared" si="5"/>
        <v>0.25931445603576753</v>
      </c>
      <c r="R65" s="5">
        <f t="shared" si="6"/>
        <v>0.16239386910103129</v>
      </c>
      <c r="S65" s="10">
        <f t="shared" si="7"/>
        <v>2.836035010463859</v>
      </c>
      <c r="T65" s="12">
        <f t="shared" si="8"/>
        <v>2.1793257233358401</v>
      </c>
      <c r="U65" s="10">
        <f t="shared" si="9"/>
        <v>2.5076803668998497</v>
      </c>
      <c r="W65" t="s">
        <v>74</v>
      </c>
    </row>
    <row r="66" spans="1:23" x14ac:dyDescent="0.2">
      <c r="A66" t="s">
        <v>7</v>
      </c>
      <c r="B66" t="s">
        <v>22</v>
      </c>
      <c r="C66" t="s">
        <v>23</v>
      </c>
      <c r="D66" t="s">
        <v>24</v>
      </c>
      <c r="E66">
        <v>2</v>
      </c>
      <c r="F66">
        <v>13</v>
      </c>
      <c r="G66">
        <v>2</v>
      </c>
      <c r="H66" s="5">
        <f t="shared" ref="H66:H129" si="10">G66/F66</f>
        <v>0.15384615384615385</v>
      </c>
      <c r="J66" s="11">
        <f t="shared" ref="J66:J129" si="11">IF(A66="Male",0, 1)</f>
        <v>1</v>
      </c>
      <c r="K66">
        <f t="shared" ref="K66:K129" si="12">IF(B66="No",0, 1)</f>
        <v>1</v>
      </c>
      <c r="L66">
        <f t="shared" ref="L66:L129" si="13">IF(C66="Mon",1,IF(C66="Tues",2,IF(C66="Wed",3,IF(C66="Thur",4,IF(C66="Fri",5,IF(C66="Sat",6,7))))))</f>
        <v>4</v>
      </c>
      <c r="M66">
        <f t="shared" ref="M66:M129" si="14">IF(D66="Lunch",0,1)</f>
        <v>0</v>
      </c>
      <c r="N66">
        <v>2</v>
      </c>
      <c r="O66">
        <v>13.42</v>
      </c>
      <c r="P66">
        <v>1.58</v>
      </c>
      <c r="Q66" s="5">
        <f t="shared" ref="Q66:Q129" si="15">P66/O66</f>
        <v>0.11773472429210134</v>
      </c>
      <c r="R66" s="5">
        <f t="shared" ref="R66:R129" si="16">AVERAGE(IF(A66="Female",GETPIVOTDATA("tip %",$W$26,"sex","Female"),GETPIVOTDATA("tip %",$W$26,"sex","Male")),IF(K66=0,GETPIVOTDATA("tip %",$AA$26,"smoker","No"),GETPIVOTDATA("tip %",$AA$26,"smoker","Yes")),IF(C66=$W$33,GETPIVOTDATA("tip %",$W$32,"day","Thur"),IF(C66=$W$34,GETPIVOTDATA("tip %",$W$32,"day","Fri"),IF(C66=$W$35,GETPIVOTDATA("tip %",$W$32,"day","Sat"),IF(C66=$W$36,GETPIVOTDATA("tip %",$W$32,"day","Sun"),GETPIVOTDATA("tip %",$W$32))))),IF(D66=$AE$27,GETPIVOTDATA("tip %",$AE$26,"time","Dinner"),GETPIVOTDATA("tip %",$AE$26,"time","Lunch")),IF(N66=$AA$33,GETPIVOTDATA("Average of tip %",$AA$32,"size",1),IF(N66=$AA$34,GETPIVOTDATA("Average of tip %",$AA$32,"size",2),IF(N66=$AA$35,GETPIVOTDATA("Average of tip %",$AA$32,"size",3),IF(N66=$AA$36,GETPIVOTDATA("Average of tip %",$AA$32,"size",4),IF(N66=$AA$37,GETPIVOTDATA("Average of tip %",$AA$32,"size",5),GETPIVOTDATA("Average of tip %",$AA$32,"size",6)))))))</f>
        <v>0.16416190696595673</v>
      </c>
      <c r="S66" s="10">
        <f t="shared" si="7"/>
        <v>2.784801098757292</v>
      </c>
      <c r="T66" s="12">
        <f t="shared" si="8"/>
        <v>2.2030527914831395</v>
      </c>
      <c r="U66" s="10">
        <f t="shared" si="9"/>
        <v>2.493926945120216</v>
      </c>
    </row>
    <row r="67" spans="1:23" x14ac:dyDescent="0.2">
      <c r="A67" t="s">
        <v>11</v>
      </c>
      <c r="B67" t="s">
        <v>22</v>
      </c>
      <c r="C67" t="s">
        <v>23</v>
      </c>
      <c r="D67" t="s">
        <v>24</v>
      </c>
      <c r="E67">
        <v>2</v>
      </c>
      <c r="F67">
        <v>13.51</v>
      </c>
      <c r="G67">
        <v>2</v>
      </c>
      <c r="H67" s="5">
        <f t="shared" si="10"/>
        <v>0.14803849000740193</v>
      </c>
      <c r="J67" s="11">
        <f t="shared" si="11"/>
        <v>0</v>
      </c>
      <c r="K67">
        <f t="shared" si="12"/>
        <v>1</v>
      </c>
      <c r="L67">
        <f t="shared" si="13"/>
        <v>4</v>
      </c>
      <c r="M67">
        <f t="shared" si="14"/>
        <v>0</v>
      </c>
      <c r="N67">
        <v>2</v>
      </c>
      <c r="O67">
        <v>13.42</v>
      </c>
      <c r="P67">
        <v>1.68</v>
      </c>
      <c r="Q67" s="5">
        <f t="shared" si="15"/>
        <v>0.12518628912071533</v>
      </c>
      <c r="R67" s="5">
        <f t="shared" si="16"/>
        <v>0.16239386910103129</v>
      </c>
      <c r="S67" s="10">
        <f t="shared" ref="S67:S130" si="17">AVERAGE(IF(A67=$W$27,GETPIVOTDATA("Average of tip",$W$26,"sex","Female"),GETPIVOTDATA("Average of tip",$W$26,"sex","Male")),IF(B67=$AA$27,GETPIVOTDATA("Average of tip",$AA$26,"smoker","No"),GETPIVOTDATA("Average of tip",$AA$26,"smoker","Yes")),IF(C67=$W$33,GETPIVOTDATA("Average of tip",$W$32,"day","Thur"),IF(C67=$W$34,GETPIVOTDATA("Average of tip",$W$32,"day","Fri"),IF(C67=$W$35,GETPIVOTDATA("Average of tip",$W$32,"day","Sat"),GETPIVOTDATA("Average of tip",$W$32,"day","Sun")))),IF(D67=$AE$27,GETPIVOTDATA("Average of tip",$AE$26,"time","Dinner"),GETPIVOTDATA("Average of tip",$AE$26,"time","Lunch")),IF(E67=$AA$33,GETPIVOTDATA("Average of tip",$AA$32,"size",1),IF(E67=$AA$34,GETPIVOTDATA("Average of tip",$AA$32,"size",2),IF(E67=$AA$35,GETPIVOTDATA("Average of tip",$AA$32,"size",3),IF(E67=$AA$36,GETPIVOTDATA("Average of tip",$AA$32,"size",4),IF(E67=$AA$37,GETPIVOTDATA("Average of tip",$AA$32,"size",5),GETPIVOTDATA("Average of tip",$AA$32,"size",6)))))))</f>
        <v>2.836035010463859</v>
      </c>
      <c r="T67" s="12">
        <f t="shared" ref="T67:T130" si="18">R67*O67</f>
        <v>2.1793257233358401</v>
      </c>
      <c r="U67" s="10">
        <f t="shared" ref="U67:U130" si="19">AVERAGE(S67,T67)</f>
        <v>2.5076803668998497</v>
      </c>
    </row>
    <row r="68" spans="1:23" x14ac:dyDescent="0.2">
      <c r="A68" t="s">
        <v>7</v>
      </c>
      <c r="B68" t="s">
        <v>22</v>
      </c>
      <c r="C68" t="s">
        <v>23</v>
      </c>
      <c r="D68" t="s">
        <v>24</v>
      </c>
      <c r="E68">
        <v>2</v>
      </c>
      <c r="F68">
        <v>13</v>
      </c>
      <c r="G68">
        <v>2</v>
      </c>
      <c r="H68" s="5">
        <f t="shared" si="10"/>
        <v>0.15384615384615385</v>
      </c>
      <c r="J68" s="11">
        <f t="shared" si="11"/>
        <v>1</v>
      </c>
      <c r="K68">
        <f t="shared" si="12"/>
        <v>1</v>
      </c>
      <c r="L68">
        <f t="shared" si="13"/>
        <v>4</v>
      </c>
      <c r="M68">
        <f t="shared" si="14"/>
        <v>0</v>
      </c>
      <c r="N68">
        <v>2</v>
      </c>
      <c r="O68">
        <v>13.51</v>
      </c>
      <c r="P68">
        <v>2</v>
      </c>
      <c r="Q68" s="5">
        <f t="shared" si="15"/>
        <v>0.14803849000740193</v>
      </c>
      <c r="R68" s="5">
        <f t="shared" si="16"/>
        <v>0.16416190696595673</v>
      </c>
      <c r="S68" s="10">
        <f t="shared" si="17"/>
        <v>2.784801098757292</v>
      </c>
      <c r="T68" s="12">
        <f t="shared" si="18"/>
        <v>2.2178273631100756</v>
      </c>
      <c r="U68" s="10">
        <f t="shared" si="19"/>
        <v>2.5013142309336835</v>
      </c>
    </row>
    <row r="69" spans="1:23" x14ac:dyDescent="0.2">
      <c r="A69" t="s">
        <v>7</v>
      </c>
      <c r="B69" t="s">
        <v>22</v>
      </c>
      <c r="C69" t="s">
        <v>25</v>
      </c>
      <c r="D69" t="s">
        <v>24</v>
      </c>
      <c r="E69">
        <v>2</v>
      </c>
      <c r="F69">
        <v>10.09</v>
      </c>
      <c r="G69">
        <v>2</v>
      </c>
      <c r="H69" s="5">
        <f t="shared" si="10"/>
        <v>0.19821605550049554</v>
      </c>
      <c r="J69" s="11">
        <f t="shared" si="11"/>
        <v>1</v>
      </c>
      <c r="K69">
        <f t="shared" si="12"/>
        <v>1</v>
      </c>
      <c r="L69">
        <f t="shared" si="13"/>
        <v>5</v>
      </c>
      <c r="M69">
        <f t="shared" si="14"/>
        <v>0</v>
      </c>
      <c r="N69">
        <v>2</v>
      </c>
      <c r="O69">
        <v>13.81</v>
      </c>
      <c r="P69">
        <v>2</v>
      </c>
      <c r="Q69" s="5">
        <f t="shared" si="15"/>
        <v>0.14482259232440259</v>
      </c>
      <c r="R69" s="5">
        <f t="shared" si="16"/>
        <v>0.16588938591932306</v>
      </c>
      <c r="S69" s="10">
        <f t="shared" si="17"/>
        <v>2.7774581445976994</v>
      </c>
      <c r="T69" s="12">
        <f t="shared" si="18"/>
        <v>2.2909324195458516</v>
      </c>
      <c r="U69" s="10">
        <f t="shared" si="19"/>
        <v>2.5341952820717752</v>
      </c>
    </row>
    <row r="70" spans="1:23" x14ac:dyDescent="0.2">
      <c r="A70" t="s">
        <v>7</v>
      </c>
      <c r="B70" t="s">
        <v>22</v>
      </c>
      <c r="C70" t="s">
        <v>21</v>
      </c>
      <c r="D70" t="s">
        <v>10</v>
      </c>
      <c r="E70">
        <v>2</v>
      </c>
      <c r="F70">
        <v>27.18</v>
      </c>
      <c r="G70">
        <v>2</v>
      </c>
      <c r="H70" s="5">
        <f t="shared" si="10"/>
        <v>7.358351729212656E-2</v>
      </c>
      <c r="J70" s="11">
        <f t="shared" si="11"/>
        <v>1</v>
      </c>
      <c r="K70">
        <f t="shared" si="12"/>
        <v>1</v>
      </c>
      <c r="L70">
        <f t="shared" si="13"/>
        <v>6</v>
      </c>
      <c r="M70">
        <f t="shared" si="14"/>
        <v>1</v>
      </c>
      <c r="N70">
        <v>2</v>
      </c>
      <c r="O70">
        <v>13.81</v>
      </c>
      <c r="P70">
        <v>2</v>
      </c>
      <c r="Q70" s="5">
        <f t="shared" si="15"/>
        <v>0.14482259232440259</v>
      </c>
      <c r="R70" s="5">
        <f t="shared" si="16"/>
        <v>0.16161509557363743</v>
      </c>
      <c r="S70" s="10">
        <f t="shared" si="17"/>
        <v>2.9040479096820868</v>
      </c>
      <c r="T70" s="12">
        <f t="shared" si="18"/>
        <v>2.231904469871933</v>
      </c>
      <c r="U70" s="10">
        <f t="shared" si="19"/>
        <v>2.5679761897770099</v>
      </c>
    </row>
    <row r="71" spans="1:23" x14ac:dyDescent="0.2">
      <c r="A71" t="s">
        <v>11</v>
      </c>
      <c r="B71" t="s">
        <v>22</v>
      </c>
      <c r="C71" t="s">
        <v>21</v>
      </c>
      <c r="D71" t="s">
        <v>10</v>
      </c>
      <c r="E71">
        <v>2</v>
      </c>
      <c r="F71">
        <v>22.67</v>
      </c>
      <c r="G71">
        <v>2</v>
      </c>
      <c r="H71" s="5">
        <f t="shared" si="10"/>
        <v>8.8222320247022493E-2</v>
      </c>
      <c r="J71" s="11">
        <f t="shared" si="11"/>
        <v>0</v>
      </c>
      <c r="K71">
        <f t="shared" si="12"/>
        <v>1</v>
      </c>
      <c r="L71">
        <f t="shared" si="13"/>
        <v>6</v>
      </c>
      <c r="M71">
        <f t="shared" si="14"/>
        <v>1</v>
      </c>
      <c r="N71">
        <v>2</v>
      </c>
      <c r="O71">
        <v>13.94</v>
      </c>
      <c r="P71">
        <v>3.06</v>
      </c>
      <c r="Q71" s="5">
        <f t="shared" si="15"/>
        <v>0.21951219512195122</v>
      </c>
      <c r="R71" s="5">
        <f t="shared" si="16"/>
        <v>0.15984705770871196</v>
      </c>
      <c r="S71" s="10">
        <f t="shared" si="17"/>
        <v>2.9552818213886538</v>
      </c>
      <c r="T71" s="12">
        <f t="shared" si="18"/>
        <v>2.2282679844594449</v>
      </c>
      <c r="U71" s="10">
        <f t="shared" si="19"/>
        <v>2.5917749029240493</v>
      </c>
    </row>
    <row r="72" spans="1:23" x14ac:dyDescent="0.2">
      <c r="A72" t="s">
        <v>11</v>
      </c>
      <c r="B72" t="s">
        <v>8</v>
      </c>
      <c r="C72" t="s">
        <v>21</v>
      </c>
      <c r="D72" t="s">
        <v>10</v>
      </c>
      <c r="E72">
        <v>3</v>
      </c>
      <c r="F72">
        <v>16.309999999999999</v>
      </c>
      <c r="G72">
        <v>2</v>
      </c>
      <c r="H72" s="5">
        <f t="shared" si="10"/>
        <v>0.12262415695892091</v>
      </c>
      <c r="J72" s="11">
        <f t="shared" si="11"/>
        <v>0</v>
      </c>
      <c r="K72">
        <f t="shared" si="12"/>
        <v>0</v>
      </c>
      <c r="L72">
        <f t="shared" si="13"/>
        <v>6</v>
      </c>
      <c r="M72">
        <f t="shared" si="14"/>
        <v>1</v>
      </c>
      <c r="N72">
        <v>2</v>
      </c>
      <c r="O72">
        <v>14</v>
      </c>
      <c r="P72">
        <v>3</v>
      </c>
      <c r="Q72" s="5">
        <f t="shared" si="15"/>
        <v>0.21428571428571427</v>
      </c>
      <c r="R72" s="5">
        <f t="shared" si="16"/>
        <v>0.15907354121717945</v>
      </c>
      <c r="S72" s="10">
        <f t="shared" si="17"/>
        <v>3.1140807873177652</v>
      </c>
      <c r="T72" s="12">
        <f t="shared" si="18"/>
        <v>2.2270295770405122</v>
      </c>
      <c r="U72" s="10">
        <f t="shared" si="19"/>
        <v>2.6705551821791387</v>
      </c>
    </row>
    <row r="73" spans="1:23" x14ac:dyDescent="0.2">
      <c r="A73" t="s">
        <v>7</v>
      </c>
      <c r="B73" t="s">
        <v>8</v>
      </c>
      <c r="C73" t="s">
        <v>9</v>
      </c>
      <c r="D73" t="s">
        <v>10</v>
      </c>
      <c r="E73">
        <v>3</v>
      </c>
      <c r="F73">
        <v>16.21</v>
      </c>
      <c r="G73">
        <v>2</v>
      </c>
      <c r="H73" s="5">
        <f t="shared" si="10"/>
        <v>0.12338062924120913</v>
      </c>
      <c r="J73" s="11">
        <f t="shared" si="11"/>
        <v>1</v>
      </c>
      <c r="K73">
        <f t="shared" si="12"/>
        <v>0</v>
      </c>
      <c r="L73">
        <f t="shared" si="13"/>
        <v>7</v>
      </c>
      <c r="M73">
        <f t="shared" si="14"/>
        <v>1</v>
      </c>
      <c r="N73">
        <v>2</v>
      </c>
      <c r="O73">
        <v>14.07</v>
      </c>
      <c r="P73">
        <v>2.5</v>
      </c>
      <c r="Q73" s="5">
        <f t="shared" si="15"/>
        <v>0.17768301350390903</v>
      </c>
      <c r="R73" s="5">
        <f t="shared" si="16"/>
        <v>0.16359069307477619</v>
      </c>
      <c r="S73" s="10">
        <f t="shared" si="17"/>
        <v>3.1152525017454993</v>
      </c>
      <c r="T73" s="12">
        <f t="shared" si="18"/>
        <v>2.3017210515621009</v>
      </c>
      <c r="U73" s="10">
        <f t="shared" si="19"/>
        <v>2.7084867766538001</v>
      </c>
    </row>
    <row r="74" spans="1:23" x14ac:dyDescent="0.2">
      <c r="A74" t="s">
        <v>11</v>
      </c>
      <c r="B74" t="s">
        <v>22</v>
      </c>
      <c r="C74" t="s">
        <v>21</v>
      </c>
      <c r="D74" t="s">
        <v>10</v>
      </c>
      <c r="E74">
        <v>3</v>
      </c>
      <c r="F74">
        <v>30.06</v>
      </c>
      <c r="G74">
        <v>2</v>
      </c>
      <c r="H74" s="5">
        <f t="shared" si="10"/>
        <v>6.6533599467731214E-2</v>
      </c>
      <c r="J74" s="11">
        <f t="shared" si="11"/>
        <v>0</v>
      </c>
      <c r="K74">
        <f t="shared" si="12"/>
        <v>1</v>
      </c>
      <c r="L74">
        <f t="shared" si="13"/>
        <v>6</v>
      </c>
      <c r="M74">
        <f t="shared" si="14"/>
        <v>1</v>
      </c>
      <c r="N74">
        <v>2</v>
      </c>
      <c r="O74">
        <v>14.15</v>
      </c>
      <c r="P74">
        <v>2</v>
      </c>
      <c r="Q74" s="5">
        <f t="shared" si="15"/>
        <v>0.14134275618374559</v>
      </c>
      <c r="R74" s="5">
        <f t="shared" si="16"/>
        <v>0.15984705770871196</v>
      </c>
      <c r="S74" s="10">
        <f t="shared" si="17"/>
        <v>3.1174518618744838</v>
      </c>
      <c r="T74" s="12">
        <f t="shared" si="18"/>
        <v>2.2618358665782745</v>
      </c>
      <c r="U74" s="10">
        <f t="shared" si="19"/>
        <v>2.6896438642263791</v>
      </c>
    </row>
    <row r="75" spans="1:23" x14ac:dyDescent="0.2">
      <c r="A75" t="s">
        <v>11</v>
      </c>
      <c r="B75" t="s">
        <v>8</v>
      </c>
      <c r="C75" t="s">
        <v>9</v>
      </c>
      <c r="D75" t="s">
        <v>10</v>
      </c>
      <c r="E75">
        <v>4</v>
      </c>
      <c r="F75">
        <v>24.55</v>
      </c>
      <c r="G75">
        <v>2</v>
      </c>
      <c r="H75" s="5">
        <f t="shared" si="10"/>
        <v>8.1466395112016296E-2</v>
      </c>
      <c r="J75" s="11">
        <f t="shared" si="11"/>
        <v>0</v>
      </c>
      <c r="K75">
        <f t="shared" si="12"/>
        <v>0</v>
      </c>
      <c r="L75">
        <f t="shared" si="13"/>
        <v>7</v>
      </c>
      <c r="M75">
        <f t="shared" si="14"/>
        <v>1</v>
      </c>
      <c r="N75">
        <v>2</v>
      </c>
      <c r="O75">
        <v>14.26</v>
      </c>
      <c r="P75">
        <v>2.5</v>
      </c>
      <c r="Q75" s="5">
        <f t="shared" si="15"/>
        <v>0.17531556802244039</v>
      </c>
      <c r="R75" s="5">
        <f t="shared" si="16"/>
        <v>0.16182265520985073</v>
      </c>
      <c r="S75" s="10">
        <f t="shared" si="17"/>
        <v>3.3149359155857794</v>
      </c>
      <c r="T75" s="12">
        <f t="shared" si="18"/>
        <v>2.3075910632924712</v>
      </c>
      <c r="U75" s="10">
        <f t="shared" si="19"/>
        <v>2.8112634894391251</v>
      </c>
    </row>
    <row r="76" spans="1:23" x14ac:dyDescent="0.2">
      <c r="A76" t="s">
        <v>11</v>
      </c>
      <c r="B76" t="s">
        <v>8</v>
      </c>
      <c r="C76" t="s">
        <v>9</v>
      </c>
      <c r="D76" t="s">
        <v>10</v>
      </c>
      <c r="E76">
        <v>4</v>
      </c>
      <c r="F76">
        <v>19.77</v>
      </c>
      <c r="G76">
        <v>2</v>
      </c>
      <c r="H76" s="5">
        <f t="shared" si="10"/>
        <v>0.10116337885685382</v>
      </c>
      <c r="J76" s="11">
        <f t="shared" si="11"/>
        <v>0</v>
      </c>
      <c r="K76">
        <f t="shared" si="12"/>
        <v>0</v>
      </c>
      <c r="L76">
        <f t="shared" si="13"/>
        <v>7</v>
      </c>
      <c r="M76">
        <f t="shared" si="14"/>
        <v>1</v>
      </c>
      <c r="N76">
        <v>2</v>
      </c>
      <c r="O76">
        <v>14.31</v>
      </c>
      <c r="P76">
        <v>4</v>
      </c>
      <c r="Q76" s="5">
        <f t="shared" si="15"/>
        <v>0.27952480782669459</v>
      </c>
      <c r="R76" s="5">
        <f t="shared" si="16"/>
        <v>0.16182265520985073</v>
      </c>
      <c r="S76" s="10">
        <f t="shared" si="17"/>
        <v>3.3149359155857794</v>
      </c>
      <c r="T76" s="12">
        <f t="shared" si="18"/>
        <v>2.3156821960529639</v>
      </c>
      <c r="U76" s="10">
        <f t="shared" si="19"/>
        <v>2.8153090558193714</v>
      </c>
    </row>
    <row r="77" spans="1:23" x14ac:dyDescent="0.2">
      <c r="A77" t="s">
        <v>11</v>
      </c>
      <c r="B77" t="s">
        <v>8</v>
      </c>
      <c r="C77" t="s">
        <v>9</v>
      </c>
      <c r="D77" t="s">
        <v>10</v>
      </c>
      <c r="E77">
        <v>4</v>
      </c>
      <c r="F77">
        <v>16.489999999999998</v>
      </c>
      <c r="G77">
        <v>2</v>
      </c>
      <c r="H77" s="5">
        <f t="shared" si="10"/>
        <v>0.12128562765312312</v>
      </c>
      <c r="J77" s="11">
        <f t="shared" si="11"/>
        <v>0</v>
      </c>
      <c r="K77">
        <f t="shared" si="12"/>
        <v>0</v>
      </c>
      <c r="L77">
        <f t="shared" si="13"/>
        <v>7</v>
      </c>
      <c r="M77">
        <f t="shared" si="14"/>
        <v>1</v>
      </c>
      <c r="N77">
        <v>2</v>
      </c>
      <c r="O77">
        <v>14.48</v>
      </c>
      <c r="P77">
        <v>2</v>
      </c>
      <c r="Q77" s="5">
        <f t="shared" si="15"/>
        <v>0.13812154696132597</v>
      </c>
      <c r="R77" s="5">
        <f t="shared" si="16"/>
        <v>0.16182265520985073</v>
      </c>
      <c r="S77" s="10">
        <f t="shared" si="17"/>
        <v>3.3149359155857794</v>
      </c>
      <c r="T77" s="12">
        <f t="shared" si="18"/>
        <v>2.3431920474386385</v>
      </c>
      <c r="U77" s="10">
        <f t="shared" si="19"/>
        <v>2.8290639815122089</v>
      </c>
    </row>
    <row r="78" spans="1:23" x14ac:dyDescent="0.2">
      <c r="A78" t="s">
        <v>11</v>
      </c>
      <c r="B78" t="s">
        <v>22</v>
      </c>
      <c r="C78" t="s">
        <v>21</v>
      </c>
      <c r="D78" t="s">
        <v>10</v>
      </c>
      <c r="E78">
        <v>4</v>
      </c>
      <c r="F78">
        <v>24.01</v>
      </c>
      <c r="G78">
        <v>2</v>
      </c>
      <c r="H78" s="5">
        <f t="shared" si="10"/>
        <v>8.3298625572678045E-2</v>
      </c>
      <c r="J78" s="11">
        <f t="shared" si="11"/>
        <v>0</v>
      </c>
      <c r="K78">
        <f t="shared" si="12"/>
        <v>1</v>
      </c>
      <c r="L78">
        <f t="shared" si="13"/>
        <v>6</v>
      </c>
      <c r="M78">
        <f t="shared" si="14"/>
        <v>1</v>
      </c>
      <c r="N78">
        <v>2</v>
      </c>
      <c r="O78">
        <v>14.52</v>
      </c>
      <c r="P78">
        <v>2</v>
      </c>
      <c r="Q78" s="5">
        <f t="shared" si="15"/>
        <v>0.13774104683195593</v>
      </c>
      <c r="R78" s="5">
        <f t="shared" si="16"/>
        <v>0.15984705770871196</v>
      </c>
      <c r="S78" s="10">
        <f t="shared" si="17"/>
        <v>3.2659013640081964</v>
      </c>
      <c r="T78" s="12">
        <f t="shared" si="18"/>
        <v>2.3209792779304976</v>
      </c>
      <c r="U78" s="10">
        <f t="shared" si="19"/>
        <v>2.793440320969347</v>
      </c>
    </row>
    <row r="79" spans="1:23" x14ac:dyDescent="0.2">
      <c r="A79" t="s">
        <v>11</v>
      </c>
      <c r="B79" t="s">
        <v>22</v>
      </c>
      <c r="C79" t="s">
        <v>9</v>
      </c>
      <c r="D79" t="s">
        <v>10</v>
      </c>
      <c r="E79">
        <v>5</v>
      </c>
      <c r="F79">
        <v>30.46</v>
      </c>
      <c r="G79">
        <v>2</v>
      </c>
      <c r="H79" s="5">
        <f t="shared" si="10"/>
        <v>6.5659881812212731E-2</v>
      </c>
      <c r="J79" s="11">
        <f t="shared" si="11"/>
        <v>0</v>
      </c>
      <c r="K79">
        <f t="shared" si="12"/>
        <v>1</v>
      </c>
      <c r="L79">
        <f t="shared" si="13"/>
        <v>7</v>
      </c>
      <c r="M79">
        <f t="shared" si="14"/>
        <v>1</v>
      </c>
      <c r="N79">
        <v>2</v>
      </c>
      <c r="O79">
        <v>14.73</v>
      </c>
      <c r="P79">
        <v>2.2000000000000002</v>
      </c>
      <c r="Q79" s="5">
        <f t="shared" si="15"/>
        <v>0.14935505770536323</v>
      </c>
      <c r="R79" s="5">
        <f t="shared" si="16"/>
        <v>0.16259617170138324</v>
      </c>
      <c r="S79" s="10">
        <f t="shared" si="17"/>
        <v>3.2968259090614169</v>
      </c>
      <c r="T79" s="12">
        <f t="shared" si="18"/>
        <v>2.3950416091613751</v>
      </c>
      <c r="U79" s="10">
        <f t="shared" si="19"/>
        <v>2.845933759111396</v>
      </c>
    </row>
    <row r="80" spans="1:23" x14ac:dyDescent="0.2">
      <c r="A80" t="s">
        <v>11</v>
      </c>
      <c r="B80" t="s">
        <v>8</v>
      </c>
      <c r="C80" t="s">
        <v>21</v>
      </c>
      <c r="D80" t="s">
        <v>10</v>
      </c>
      <c r="E80">
        <v>2</v>
      </c>
      <c r="F80">
        <v>20.23</v>
      </c>
      <c r="G80">
        <v>2.0099999999999998</v>
      </c>
      <c r="H80" s="5">
        <f t="shared" si="10"/>
        <v>9.9357390014829447E-2</v>
      </c>
      <c r="J80" s="11">
        <f t="shared" si="11"/>
        <v>0</v>
      </c>
      <c r="K80">
        <f t="shared" si="12"/>
        <v>0</v>
      </c>
      <c r="L80">
        <f t="shared" si="13"/>
        <v>6</v>
      </c>
      <c r="M80">
        <f t="shared" si="14"/>
        <v>1</v>
      </c>
      <c r="N80">
        <v>2</v>
      </c>
      <c r="O80">
        <v>14.78</v>
      </c>
      <c r="P80">
        <v>3.23</v>
      </c>
      <c r="Q80" s="5">
        <f t="shared" si="15"/>
        <v>0.21853856562922869</v>
      </c>
      <c r="R80" s="5">
        <f t="shared" si="16"/>
        <v>0.15907354121717945</v>
      </c>
      <c r="S80" s="10">
        <f t="shared" si="17"/>
        <v>2.9519107468319357</v>
      </c>
      <c r="T80" s="12">
        <f t="shared" si="18"/>
        <v>2.3511069391899122</v>
      </c>
      <c r="U80" s="10">
        <f t="shared" si="19"/>
        <v>2.6515088430109239</v>
      </c>
    </row>
    <row r="81" spans="1:21" x14ac:dyDescent="0.2">
      <c r="A81" t="s">
        <v>7</v>
      </c>
      <c r="B81" t="s">
        <v>22</v>
      </c>
      <c r="C81" t="s">
        <v>23</v>
      </c>
      <c r="D81" t="s">
        <v>24</v>
      </c>
      <c r="E81">
        <v>2</v>
      </c>
      <c r="F81">
        <v>12.74</v>
      </c>
      <c r="G81">
        <v>2.0099999999999998</v>
      </c>
      <c r="H81" s="5">
        <f t="shared" si="10"/>
        <v>0.15777080062794346</v>
      </c>
      <c r="J81" s="11">
        <f t="shared" si="11"/>
        <v>1</v>
      </c>
      <c r="K81">
        <f t="shared" si="12"/>
        <v>1</v>
      </c>
      <c r="L81">
        <f t="shared" si="13"/>
        <v>4</v>
      </c>
      <c r="M81">
        <f t="shared" si="14"/>
        <v>0</v>
      </c>
      <c r="N81">
        <v>2</v>
      </c>
      <c r="O81">
        <v>14.83</v>
      </c>
      <c r="P81">
        <v>3.02</v>
      </c>
      <c r="Q81" s="5">
        <f t="shared" si="15"/>
        <v>0.20364126770060686</v>
      </c>
      <c r="R81" s="5">
        <f t="shared" si="16"/>
        <v>0.16416190696595673</v>
      </c>
      <c r="S81" s="10">
        <f t="shared" si="17"/>
        <v>2.784801098757292</v>
      </c>
      <c r="T81" s="12">
        <f t="shared" si="18"/>
        <v>2.4345210803051383</v>
      </c>
      <c r="U81" s="10">
        <f t="shared" si="19"/>
        <v>2.6096610895312153</v>
      </c>
    </row>
    <row r="82" spans="1:21" x14ac:dyDescent="0.2">
      <c r="A82" t="s">
        <v>11</v>
      </c>
      <c r="B82" t="s">
        <v>22</v>
      </c>
      <c r="C82" t="s">
        <v>23</v>
      </c>
      <c r="D82" t="s">
        <v>24</v>
      </c>
      <c r="E82">
        <v>2</v>
      </c>
      <c r="F82">
        <v>15.48</v>
      </c>
      <c r="G82">
        <v>2.02</v>
      </c>
      <c r="H82" s="5">
        <f t="shared" si="10"/>
        <v>0.13049095607235142</v>
      </c>
      <c r="J82" s="11">
        <f t="shared" si="11"/>
        <v>0</v>
      </c>
      <c r="K82">
        <f t="shared" si="12"/>
        <v>1</v>
      </c>
      <c r="L82">
        <f t="shared" si="13"/>
        <v>4</v>
      </c>
      <c r="M82">
        <f t="shared" si="14"/>
        <v>0</v>
      </c>
      <c r="N82">
        <v>2</v>
      </c>
      <c r="O82">
        <v>15.01</v>
      </c>
      <c r="P82">
        <v>2.09</v>
      </c>
      <c r="Q82" s="5">
        <f t="shared" si="15"/>
        <v>0.13924050632911392</v>
      </c>
      <c r="R82" s="5">
        <f t="shared" si="16"/>
        <v>0.16239386910103129</v>
      </c>
      <c r="S82" s="10">
        <f t="shared" si="17"/>
        <v>2.836035010463859</v>
      </c>
      <c r="T82" s="12">
        <f t="shared" si="18"/>
        <v>2.4375319752064795</v>
      </c>
      <c r="U82" s="10">
        <f t="shared" si="19"/>
        <v>2.6367834928351694</v>
      </c>
    </row>
    <row r="83" spans="1:21" x14ac:dyDescent="0.2">
      <c r="A83" t="s">
        <v>11</v>
      </c>
      <c r="B83" t="s">
        <v>8</v>
      </c>
      <c r="C83" t="s">
        <v>23</v>
      </c>
      <c r="D83" t="s">
        <v>24</v>
      </c>
      <c r="E83">
        <v>2</v>
      </c>
      <c r="F83">
        <v>15.98</v>
      </c>
      <c r="G83">
        <v>2.0299999999999998</v>
      </c>
      <c r="H83" s="5">
        <f t="shared" si="10"/>
        <v>0.12703379224030037</v>
      </c>
      <c r="J83" s="11">
        <f t="shared" si="11"/>
        <v>0</v>
      </c>
      <c r="K83">
        <f t="shared" si="12"/>
        <v>0</v>
      </c>
      <c r="L83">
        <f t="shared" si="13"/>
        <v>4</v>
      </c>
      <c r="M83">
        <f t="shared" si="14"/>
        <v>0</v>
      </c>
      <c r="N83">
        <v>2</v>
      </c>
      <c r="O83">
        <v>15.04</v>
      </c>
      <c r="P83">
        <v>1.96</v>
      </c>
      <c r="Q83" s="5">
        <f t="shared" si="15"/>
        <v>0.13031914893617022</v>
      </c>
      <c r="R83" s="5">
        <f t="shared" si="16"/>
        <v>0.16162035260949875</v>
      </c>
      <c r="S83" s="10">
        <f t="shared" si="17"/>
        <v>2.8326639359071408</v>
      </c>
      <c r="T83" s="12">
        <f t="shared" si="18"/>
        <v>2.4307701032468612</v>
      </c>
      <c r="U83" s="10">
        <f t="shared" si="19"/>
        <v>2.631717019577001</v>
      </c>
    </row>
    <row r="84" spans="1:21" x14ac:dyDescent="0.2">
      <c r="A84" t="s">
        <v>11</v>
      </c>
      <c r="B84" t="s">
        <v>22</v>
      </c>
      <c r="C84" t="s">
        <v>21</v>
      </c>
      <c r="D84" t="s">
        <v>10</v>
      </c>
      <c r="E84">
        <v>2</v>
      </c>
      <c r="F84">
        <v>24.27</v>
      </c>
      <c r="G84">
        <v>2.0299999999999998</v>
      </c>
      <c r="H84" s="5">
        <f t="shared" si="10"/>
        <v>8.3642356819118246E-2</v>
      </c>
      <c r="J84" s="11">
        <f t="shared" si="11"/>
        <v>0</v>
      </c>
      <c r="K84">
        <f t="shared" si="12"/>
        <v>1</v>
      </c>
      <c r="L84">
        <f t="shared" si="13"/>
        <v>6</v>
      </c>
      <c r="M84">
        <f t="shared" si="14"/>
        <v>1</v>
      </c>
      <c r="N84">
        <v>2</v>
      </c>
      <c r="O84">
        <v>15.06</v>
      </c>
      <c r="P84">
        <v>3</v>
      </c>
      <c r="Q84" s="5">
        <f t="shared" si="15"/>
        <v>0.19920318725099601</v>
      </c>
      <c r="R84" s="5">
        <f t="shared" si="16"/>
        <v>0.15984705770871196</v>
      </c>
      <c r="S84" s="10">
        <f t="shared" si="17"/>
        <v>2.9552818213886538</v>
      </c>
      <c r="T84" s="12">
        <f t="shared" si="18"/>
        <v>2.4072966890932022</v>
      </c>
      <c r="U84" s="10">
        <f t="shared" si="19"/>
        <v>2.681289255240928</v>
      </c>
    </row>
    <row r="85" spans="1:21" x14ac:dyDescent="0.2">
      <c r="A85" t="s">
        <v>11</v>
      </c>
      <c r="B85" t="s">
        <v>8</v>
      </c>
      <c r="C85" t="s">
        <v>9</v>
      </c>
      <c r="D85" t="s">
        <v>10</v>
      </c>
      <c r="E85">
        <v>3</v>
      </c>
      <c r="F85">
        <v>28.55</v>
      </c>
      <c r="G85">
        <v>2.0499999999999998</v>
      </c>
      <c r="H85" s="5">
        <f t="shared" si="10"/>
        <v>7.1803852889667244E-2</v>
      </c>
      <c r="J85" s="11">
        <f t="shared" si="11"/>
        <v>0</v>
      </c>
      <c r="K85">
        <f t="shared" si="12"/>
        <v>0</v>
      </c>
      <c r="L85">
        <f t="shared" si="13"/>
        <v>7</v>
      </c>
      <c r="M85">
        <f t="shared" si="14"/>
        <v>1</v>
      </c>
      <c r="N85">
        <v>2</v>
      </c>
      <c r="O85">
        <v>15.36</v>
      </c>
      <c r="P85">
        <v>1.64</v>
      </c>
      <c r="Q85" s="5">
        <f t="shared" si="15"/>
        <v>0.10677083333333333</v>
      </c>
      <c r="R85" s="5">
        <f t="shared" si="16"/>
        <v>0.16182265520985073</v>
      </c>
      <c r="S85" s="10">
        <f t="shared" si="17"/>
        <v>3.1664864134520667</v>
      </c>
      <c r="T85" s="12">
        <f t="shared" si="18"/>
        <v>2.4855959840233073</v>
      </c>
      <c r="U85" s="10">
        <f t="shared" si="19"/>
        <v>2.8260411987376868</v>
      </c>
    </row>
    <row r="86" spans="1:21" x14ac:dyDescent="0.2">
      <c r="A86" t="s">
        <v>11</v>
      </c>
      <c r="B86" t="s">
        <v>22</v>
      </c>
      <c r="C86" t="s">
        <v>21</v>
      </c>
      <c r="D86" t="s">
        <v>10</v>
      </c>
      <c r="E86">
        <v>2</v>
      </c>
      <c r="F86">
        <v>15.01</v>
      </c>
      <c r="G86">
        <v>2.09</v>
      </c>
      <c r="H86" s="5">
        <f t="shared" si="10"/>
        <v>0.13924050632911392</v>
      </c>
      <c r="J86" s="11">
        <f t="shared" si="11"/>
        <v>0</v>
      </c>
      <c r="K86">
        <f t="shared" si="12"/>
        <v>1</v>
      </c>
      <c r="L86">
        <f t="shared" si="13"/>
        <v>6</v>
      </c>
      <c r="M86">
        <f t="shared" si="14"/>
        <v>1</v>
      </c>
      <c r="N86">
        <v>2</v>
      </c>
      <c r="O86">
        <v>15.38</v>
      </c>
      <c r="P86">
        <v>3</v>
      </c>
      <c r="Q86" s="5">
        <f t="shared" si="15"/>
        <v>0.19505851755526657</v>
      </c>
      <c r="R86" s="5">
        <f t="shared" si="16"/>
        <v>0.15984705770871196</v>
      </c>
      <c r="S86" s="10">
        <f t="shared" si="17"/>
        <v>2.9552818213886538</v>
      </c>
      <c r="T86" s="12">
        <f t="shared" si="18"/>
        <v>2.45844774755999</v>
      </c>
      <c r="U86" s="10">
        <f t="shared" si="19"/>
        <v>2.7068647844743219</v>
      </c>
    </row>
    <row r="87" spans="1:21" x14ac:dyDescent="0.2">
      <c r="A87" t="s">
        <v>11</v>
      </c>
      <c r="B87" t="s">
        <v>8</v>
      </c>
      <c r="C87" t="s">
        <v>23</v>
      </c>
      <c r="D87" t="s">
        <v>24</v>
      </c>
      <c r="E87">
        <v>3</v>
      </c>
      <c r="F87">
        <v>22.82</v>
      </c>
      <c r="G87">
        <v>2.1800000000000002</v>
      </c>
      <c r="H87" s="5">
        <f t="shared" si="10"/>
        <v>9.5530236634531113E-2</v>
      </c>
      <c r="J87" s="11">
        <f t="shared" si="11"/>
        <v>0</v>
      </c>
      <c r="K87">
        <f t="shared" si="12"/>
        <v>0</v>
      </c>
      <c r="L87">
        <f t="shared" si="13"/>
        <v>4</v>
      </c>
      <c r="M87">
        <f t="shared" si="14"/>
        <v>0</v>
      </c>
      <c r="N87">
        <v>2</v>
      </c>
      <c r="O87">
        <v>15.42</v>
      </c>
      <c r="P87">
        <v>1.57</v>
      </c>
      <c r="Q87" s="5">
        <f t="shared" si="15"/>
        <v>0.10181582360570687</v>
      </c>
      <c r="R87" s="5">
        <f t="shared" si="16"/>
        <v>0.16162035260949875</v>
      </c>
      <c r="S87" s="10">
        <f t="shared" si="17"/>
        <v>2.9948339763929708</v>
      </c>
      <c r="T87" s="12">
        <f t="shared" si="18"/>
        <v>2.4921858372384706</v>
      </c>
      <c r="U87" s="10">
        <f t="shared" si="19"/>
        <v>2.7435099068157207</v>
      </c>
    </row>
    <row r="88" spans="1:21" x14ac:dyDescent="0.2">
      <c r="A88" t="s">
        <v>7</v>
      </c>
      <c r="B88" t="s">
        <v>8</v>
      </c>
      <c r="C88" t="s">
        <v>21</v>
      </c>
      <c r="D88" t="s">
        <v>10</v>
      </c>
      <c r="E88">
        <v>2</v>
      </c>
      <c r="F88">
        <v>14.73</v>
      </c>
      <c r="G88">
        <v>2.2000000000000002</v>
      </c>
      <c r="H88" s="5">
        <f t="shared" si="10"/>
        <v>0.14935505770536323</v>
      </c>
      <c r="J88" s="11">
        <f t="shared" si="11"/>
        <v>1</v>
      </c>
      <c r="K88">
        <f t="shared" si="12"/>
        <v>0</v>
      </c>
      <c r="L88">
        <f t="shared" si="13"/>
        <v>6</v>
      </c>
      <c r="M88">
        <f t="shared" si="14"/>
        <v>1</v>
      </c>
      <c r="N88">
        <v>2</v>
      </c>
      <c r="O88">
        <v>15.48</v>
      </c>
      <c r="P88">
        <v>2.02</v>
      </c>
      <c r="Q88" s="5">
        <f t="shared" si="15"/>
        <v>0.13049095607235142</v>
      </c>
      <c r="R88" s="5">
        <f t="shared" si="16"/>
        <v>0.16084157908210489</v>
      </c>
      <c r="S88" s="10">
        <f t="shared" si="17"/>
        <v>2.9006768351253682</v>
      </c>
      <c r="T88" s="12">
        <f t="shared" si="18"/>
        <v>2.4898276441909837</v>
      </c>
      <c r="U88" s="10">
        <f t="shared" si="19"/>
        <v>2.695252239658176</v>
      </c>
    </row>
    <row r="89" spans="1:21" x14ac:dyDescent="0.2">
      <c r="A89" t="s">
        <v>11</v>
      </c>
      <c r="B89" t="s">
        <v>22</v>
      </c>
      <c r="C89" t="s">
        <v>25</v>
      </c>
      <c r="D89" t="s">
        <v>24</v>
      </c>
      <c r="E89">
        <v>2</v>
      </c>
      <c r="F89">
        <v>12.16</v>
      </c>
      <c r="G89">
        <v>2.2000000000000002</v>
      </c>
      <c r="H89" s="5">
        <f t="shared" si="10"/>
        <v>0.18092105263157895</v>
      </c>
      <c r="J89" s="11">
        <f t="shared" si="11"/>
        <v>0</v>
      </c>
      <c r="K89">
        <f t="shared" si="12"/>
        <v>1</v>
      </c>
      <c r="L89">
        <f t="shared" si="13"/>
        <v>5</v>
      </c>
      <c r="M89">
        <f t="shared" si="14"/>
        <v>0</v>
      </c>
      <c r="N89">
        <v>2</v>
      </c>
      <c r="O89">
        <v>15.53</v>
      </c>
      <c r="P89">
        <v>3</v>
      </c>
      <c r="Q89" s="5">
        <f t="shared" si="15"/>
        <v>0.19317450096587252</v>
      </c>
      <c r="R89" s="5">
        <f t="shared" si="16"/>
        <v>0.16412134805439765</v>
      </c>
      <c r="S89" s="10">
        <f t="shared" si="17"/>
        <v>2.8286920563042663</v>
      </c>
      <c r="T89" s="12">
        <f t="shared" si="18"/>
        <v>2.5488045352847957</v>
      </c>
      <c r="U89" s="10">
        <f t="shared" si="19"/>
        <v>2.688748295794531</v>
      </c>
    </row>
    <row r="90" spans="1:21" x14ac:dyDescent="0.2">
      <c r="A90" t="s">
        <v>7</v>
      </c>
      <c r="B90" t="s">
        <v>8</v>
      </c>
      <c r="C90" t="s">
        <v>21</v>
      </c>
      <c r="D90" t="s">
        <v>10</v>
      </c>
      <c r="E90">
        <v>2</v>
      </c>
      <c r="F90">
        <v>15.77</v>
      </c>
      <c r="G90">
        <v>2.23</v>
      </c>
      <c r="H90" s="5">
        <f t="shared" si="10"/>
        <v>0.14140773620798985</v>
      </c>
      <c r="J90" s="11">
        <f t="shared" si="11"/>
        <v>1</v>
      </c>
      <c r="K90">
        <f t="shared" si="12"/>
        <v>0</v>
      </c>
      <c r="L90">
        <f t="shared" si="13"/>
        <v>6</v>
      </c>
      <c r="M90">
        <f t="shared" si="14"/>
        <v>1</v>
      </c>
      <c r="N90">
        <v>2</v>
      </c>
      <c r="O90">
        <v>15.69</v>
      </c>
      <c r="P90">
        <v>1.5</v>
      </c>
      <c r="Q90" s="5">
        <f t="shared" si="15"/>
        <v>9.5602294455066919E-2</v>
      </c>
      <c r="R90" s="5">
        <f t="shared" si="16"/>
        <v>0.16084157908210489</v>
      </c>
      <c r="S90" s="10">
        <f t="shared" si="17"/>
        <v>2.9006768351253682</v>
      </c>
      <c r="T90" s="12">
        <f t="shared" si="18"/>
        <v>2.5236043757982256</v>
      </c>
      <c r="U90" s="10">
        <f t="shared" si="19"/>
        <v>2.7121406054617969</v>
      </c>
    </row>
    <row r="91" spans="1:21" x14ac:dyDescent="0.2">
      <c r="A91" t="s">
        <v>7</v>
      </c>
      <c r="B91" t="s">
        <v>22</v>
      </c>
      <c r="C91" t="s">
        <v>21</v>
      </c>
      <c r="D91" t="s">
        <v>10</v>
      </c>
      <c r="E91">
        <v>2</v>
      </c>
      <c r="F91">
        <v>12.76</v>
      </c>
      <c r="G91">
        <v>2.23</v>
      </c>
      <c r="H91" s="5">
        <f t="shared" si="10"/>
        <v>0.17476489028213166</v>
      </c>
      <c r="J91" s="11">
        <f t="shared" si="11"/>
        <v>1</v>
      </c>
      <c r="K91">
        <f t="shared" si="12"/>
        <v>1</v>
      </c>
      <c r="L91">
        <f t="shared" si="13"/>
        <v>6</v>
      </c>
      <c r="M91">
        <f t="shared" si="14"/>
        <v>1</v>
      </c>
      <c r="N91">
        <v>3</v>
      </c>
      <c r="O91">
        <v>15.69</v>
      </c>
      <c r="P91">
        <v>3</v>
      </c>
      <c r="Q91" s="5">
        <f t="shared" si="15"/>
        <v>0.19120458891013384</v>
      </c>
      <c r="R91" s="5">
        <f t="shared" si="16"/>
        <v>0.15890262817409534</v>
      </c>
      <c r="S91" s="10">
        <f t="shared" si="17"/>
        <v>2.9040479096820868</v>
      </c>
      <c r="T91" s="12">
        <f t="shared" si="18"/>
        <v>2.4931822360515556</v>
      </c>
      <c r="U91" s="10">
        <f t="shared" si="19"/>
        <v>2.6986150728668212</v>
      </c>
    </row>
    <row r="92" spans="1:21" x14ac:dyDescent="0.2">
      <c r="A92" t="s">
        <v>11</v>
      </c>
      <c r="B92" t="s">
        <v>8</v>
      </c>
      <c r="C92" t="s">
        <v>9</v>
      </c>
      <c r="D92" t="s">
        <v>10</v>
      </c>
      <c r="E92">
        <v>2</v>
      </c>
      <c r="F92">
        <v>20.76</v>
      </c>
      <c r="G92">
        <v>2.2400000000000002</v>
      </c>
      <c r="H92" s="5">
        <f t="shared" si="10"/>
        <v>0.10789980732177264</v>
      </c>
      <c r="J92" s="11">
        <f t="shared" si="11"/>
        <v>0</v>
      </c>
      <c r="K92">
        <f t="shared" si="12"/>
        <v>0</v>
      </c>
      <c r="L92">
        <f t="shared" si="13"/>
        <v>7</v>
      </c>
      <c r="M92">
        <f t="shared" si="14"/>
        <v>1</v>
      </c>
      <c r="N92">
        <v>2</v>
      </c>
      <c r="O92">
        <v>15.77</v>
      </c>
      <c r="P92">
        <v>2.23</v>
      </c>
      <c r="Q92" s="5">
        <f t="shared" si="15"/>
        <v>0.14140773620798985</v>
      </c>
      <c r="R92" s="5">
        <f t="shared" si="16"/>
        <v>0.16182265520985073</v>
      </c>
      <c r="S92" s="10">
        <f t="shared" si="17"/>
        <v>3.0043163729662368</v>
      </c>
      <c r="T92" s="12">
        <f t="shared" si="18"/>
        <v>2.5519432726593458</v>
      </c>
      <c r="U92" s="10">
        <f t="shared" si="19"/>
        <v>2.7781298228127911</v>
      </c>
    </row>
    <row r="93" spans="1:21" x14ac:dyDescent="0.2">
      <c r="A93" t="s">
        <v>11</v>
      </c>
      <c r="B93" t="s">
        <v>8</v>
      </c>
      <c r="C93" t="s">
        <v>21</v>
      </c>
      <c r="D93" t="s">
        <v>10</v>
      </c>
      <c r="E93">
        <v>3</v>
      </c>
      <c r="F93">
        <v>16.04</v>
      </c>
      <c r="G93">
        <v>2.2400000000000002</v>
      </c>
      <c r="H93" s="5">
        <f t="shared" si="10"/>
        <v>0.13965087281795513</v>
      </c>
      <c r="J93" s="11">
        <f t="shared" si="11"/>
        <v>0</v>
      </c>
      <c r="K93">
        <f t="shared" si="12"/>
        <v>0</v>
      </c>
      <c r="L93">
        <f t="shared" si="13"/>
        <v>6</v>
      </c>
      <c r="M93">
        <f t="shared" si="14"/>
        <v>1</v>
      </c>
      <c r="N93">
        <v>2</v>
      </c>
      <c r="O93">
        <v>15.81</v>
      </c>
      <c r="P93">
        <v>3.16</v>
      </c>
      <c r="Q93" s="5">
        <f t="shared" si="15"/>
        <v>0.19987349778621127</v>
      </c>
      <c r="R93" s="5">
        <f t="shared" si="16"/>
        <v>0.15907354121717945</v>
      </c>
      <c r="S93" s="10">
        <f t="shared" si="17"/>
        <v>3.1140807873177652</v>
      </c>
      <c r="T93" s="12">
        <f t="shared" si="18"/>
        <v>2.5149526866436074</v>
      </c>
      <c r="U93" s="10">
        <f t="shared" si="19"/>
        <v>2.8145167369806865</v>
      </c>
    </row>
    <row r="94" spans="1:21" x14ac:dyDescent="0.2">
      <c r="A94" t="s">
        <v>7</v>
      </c>
      <c r="B94" t="s">
        <v>8</v>
      </c>
      <c r="C94" t="s">
        <v>23</v>
      </c>
      <c r="D94" t="s">
        <v>24</v>
      </c>
      <c r="E94">
        <v>2</v>
      </c>
      <c r="F94">
        <v>16.43</v>
      </c>
      <c r="G94">
        <v>2.2999999999999998</v>
      </c>
      <c r="H94" s="5">
        <f t="shared" si="10"/>
        <v>0.13998782714546559</v>
      </c>
      <c r="J94" s="11">
        <f t="shared" si="11"/>
        <v>1</v>
      </c>
      <c r="K94">
        <f t="shared" si="12"/>
        <v>0</v>
      </c>
      <c r="L94">
        <f t="shared" si="13"/>
        <v>4</v>
      </c>
      <c r="M94">
        <f t="shared" si="14"/>
        <v>0</v>
      </c>
      <c r="N94">
        <v>2</v>
      </c>
      <c r="O94">
        <v>15.95</v>
      </c>
      <c r="P94">
        <v>2</v>
      </c>
      <c r="Q94" s="5">
        <f t="shared" si="15"/>
        <v>0.12539184952978058</v>
      </c>
      <c r="R94" s="5">
        <f t="shared" si="16"/>
        <v>0.16338839047442422</v>
      </c>
      <c r="S94" s="10">
        <f t="shared" si="17"/>
        <v>2.7814300242005734</v>
      </c>
      <c r="T94" s="12">
        <f t="shared" si="18"/>
        <v>2.6060448280670663</v>
      </c>
      <c r="U94" s="10">
        <f t="shared" si="19"/>
        <v>2.6937374261338198</v>
      </c>
    </row>
    <row r="95" spans="1:21" x14ac:dyDescent="0.2">
      <c r="A95" t="s">
        <v>11</v>
      </c>
      <c r="B95" t="s">
        <v>8</v>
      </c>
      <c r="C95" t="s">
        <v>23</v>
      </c>
      <c r="D95" t="s">
        <v>24</v>
      </c>
      <c r="E95">
        <v>2</v>
      </c>
      <c r="F95">
        <v>11.69</v>
      </c>
      <c r="G95">
        <v>2.31</v>
      </c>
      <c r="H95" s="5">
        <f t="shared" si="10"/>
        <v>0.19760479041916168</v>
      </c>
      <c r="J95" s="11">
        <f t="shared" si="11"/>
        <v>0</v>
      </c>
      <c r="K95">
        <f t="shared" si="12"/>
        <v>0</v>
      </c>
      <c r="L95">
        <f t="shared" si="13"/>
        <v>4</v>
      </c>
      <c r="M95">
        <f t="shared" si="14"/>
        <v>0</v>
      </c>
      <c r="N95">
        <v>2</v>
      </c>
      <c r="O95">
        <v>15.98</v>
      </c>
      <c r="P95">
        <v>2.0299999999999998</v>
      </c>
      <c r="Q95" s="5">
        <f t="shared" si="15"/>
        <v>0.12703379224030037</v>
      </c>
      <c r="R95" s="5">
        <f t="shared" si="16"/>
        <v>0.16162035260949875</v>
      </c>
      <c r="S95" s="10">
        <f t="shared" si="17"/>
        <v>2.8326639359071408</v>
      </c>
      <c r="T95" s="12">
        <f t="shared" si="18"/>
        <v>2.5826932346997902</v>
      </c>
      <c r="U95" s="10">
        <f t="shared" si="19"/>
        <v>2.7076785853034657</v>
      </c>
    </row>
    <row r="96" spans="1:21" x14ac:dyDescent="0.2">
      <c r="A96" t="s">
        <v>11</v>
      </c>
      <c r="B96" t="s">
        <v>8</v>
      </c>
      <c r="C96" t="s">
        <v>21</v>
      </c>
      <c r="D96" t="s">
        <v>10</v>
      </c>
      <c r="E96">
        <v>3</v>
      </c>
      <c r="F96">
        <v>18.690000000000001</v>
      </c>
      <c r="G96">
        <v>2.31</v>
      </c>
      <c r="H96" s="5">
        <f t="shared" si="10"/>
        <v>0.12359550561797752</v>
      </c>
      <c r="J96" s="11">
        <f t="shared" si="11"/>
        <v>0</v>
      </c>
      <c r="K96">
        <f t="shared" si="12"/>
        <v>0</v>
      </c>
      <c r="L96">
        <f t="shared" si="13"/>
        <v>6</v>
      </c>
      <c r="M96">
        <f t="shared" si="14"/>
        <v>1</v>
      </c>
      <c r="N96">
        <v>3</v>
      </c>
      <c r="O96">
        <v>15.98</v>
      </c>
      <c r="P96">
        <v>3</v>
      </c>
      <c r="Q96" s="5">
        <f t="shared" si="15"/>
        <v>0.18773466833541927</v>
      </c>
      <c r="R96" s="5">
        <f t="shared" si="16"/>
        <v>0.15636107381763736</v>
      </c>
      <c r="S96" s="10">
        <f t="shared" si="17"/>
        <v>3.1140807873177652</v>
      </c>
      <c r="T96" s="12">
        <f t="shared" si="18"/>
        <v>2.4986499596058453</v>
      </c>
      <c r="U96" s="10">
        <f t="shared" si="19"/>
        <v>2.806365373461805</v>
      </c>
    </row>
    <row r="97" spans="1:21" x14ac:dyDescent="0.2">
      <c r="A97" t="s">
        <v>11</v>
      </c>
      <c r="B97" t="s">
        <v>8</v>
      </c>
      <c r="C97" t="s">
        <v>21</v>
      </c>
      <c r="D97" t="s">
        <v>10</v>
      </c>
      <c r="E97">
        <v>4</v>
      </c>
      <c r="F97">
        <v>17.809999999999999</v>
      </c>
      <c r="G97">
        <v>2.34</v>
      </c>
      <c r="H97" s="5">
        <f t="shared" si="10"/>
        <v>0.13138686131386862</v>
      </c>
      <c r="J97" s="11">
        <f t="shared" si="11"/>
        <v>0</v>
      </c>
      <c r="K97">
        <f t="shared" si="12"/>
        <v>0</v>
      </c>
      <c r="L97">
        <f t="shared" si="13"/>
        <v>6</v>
      </c>
      <c r="M97">
        <f t="shared" si="14"/>
        <v>1</v>
      </c>
      <c r="N97">
        <v>2</v>
      </c>
      <c r="O97">
        <v>16</v>
      </c>
      <c r="P97">
        <v>2</v>
      </c>
      <c r="Q97" s="5">
        <f t="shared" si="15"/>
        <v>0.125</v>
      </c>
      <c r="R97" s="5">
        <f t="shared" si="16"/>
        <v>0.15907354121717945</v>
      </c>
      <c r="S97" s="10">
        <f t="shared" si="17"/>
        <v>3.2625302894514783</v>
      </c>
      <c r="T97" s="12">
        <f t="shared" si="18"/>
        <v>2.5451766594748713</v>
      </c>
      <c r="U97" s="10">
        <f t="shared" si="19"/>
        <v>2.9038534744631748</v>
      </c>
    </row>
    <row r="98" spans="1:21" x14ac:dyDescent="0.2">
      <c r="A98" t="s">
        <v>7</v>
      </c>
      <c r="B98" t="s">
        <v>8</v>
      </c>
      <c r="C98" t="s">
        <v>21</v>
      </c>
      <c r="D98" t="s">
        <v>10</v>
      </c>
      <c r="E98">
        <v>4</v>
      </c>
      <c r="F98">
        <v>20.69</v>
      </c>
      <c r="G98">
        <v>2.4500000000000002</v>
      </c>
      <c r="H98" s="5">
        <f t="shared" si="10"/>
        <v>0.11841469308844853</v>
      </c>
      <c r="J98" s="11">
        <f t="shared" si="11"/>
        <v>1</v>
      </c>
      <c r="K98">
        <f t="shared" si="12"/>
        <v>0</v>
      </c>
      <c r="L98">
        <f t="shared" si="13"/>
        <v>6</v>
      </c>
      <c r="M98">
        <f t="shared" si="14"/>
        <v>1</v>
      </c>
      <c r="N98">
        <v>3</v>
      </c>
      <c r="O98">
        <v>16.04</v>
      </c>
      <c r="P98">
        <v>2.2400000000000002</v>
      </c>
      <c r="Q98" s="5">
        <f t="shared" si="15"/>
        <v>0.13965087281795513</v>
      </c>
      <c r="R98" s="5">
        <f t="shared" si="16"/>
        <v>0.15812911168256277</v>
      </c>
      <c r="S98" s="10">
        <f t="shared" si="17"/>
        <v>3.2112963777449104</v>
      </c>
      <c r="T98" s="12">
        <f t="shared" si="18"/>
        <v>2.5363909513883067</v>
      </c>
      <c r="U98" s="10">
        <f t="shared" si="19"/>
        <v>2.8738436645666088</v>
      </c>
    </row>
    <row r="99" spans="1:21" x14ac:dyDescent="0.2">
      <c r="A99" t="s">
        <v>7</v>
      </c>
      <c r="B99" t="s">
        <v>8</v>
      </c>
      <c r="C99" t="s">
        <v>21</v>
      </c>
      <c r="D99" t="s">
        <v>10</v>
      </c>
      <c r="E99">
        <v>2</v>
      </c>
      <c r="F99">
        <v>16.45</v>
      </c>
      <c r="G99">
        <v>2.4700000000000002</v>
      </c>
      <c r="H99" s="5">
        <f t="shared" si="10"/>
        <v>0.1501519756838906</v>
      </c>
      <c r="J99" s="11">
        <f t="shared" si="11"/>
        <v>1</v>
      </c>
      <c r="K99">
        <f t="shared" si="12"/>
        <v>0</v>
      </c>
      <c r="L99">
        <f t="shared" si="13"/>
        <v>6</v>
      </c>
      <c r="M99">
        <f t="shared" si="14"/>
        <v>1</v>
      </c>
      <c r="N99">
        <v>3</v>
      </c>
      <c r="O99">
        <v>16.21</v>
      </c>
      <c r="P99">
        <v>2</v>
      </c>
      <c r="Q99" s="5">
        <f t="shared" si="15"/>
        <v>0.12338062924120913</v>
      </c>
      <c r="R99" s="5">
        <f t="shared" si="16"/>
        <v>0.15812911168256277</v>
      </c>
      <c r="S99" s="10">
        <f t="shared" si="17"/>
        <v>2.9006768351253682</v>
      </c>
      <c r="T99" s="12">
        <f t="shared" si="18"/>
        <v>2.5632729003743426</v>
      </c>
      <c r="U99" s="10">
        <f t="shared" si="19"/>
        <v>2.7319748677498552</v>
      </c>
    </row>
    <row r="100" spans="1:21" x14ac:dyDescent="0.2">
      <c r="A100" t="s">
        <v>11</v>
      </c>
      <c r="B100" t="s">
        <v>8</v>
      </c>
      <c r="C100" t="s">
        <v>9</v>
      </c>
      <c r="D100" t="s">
        <v>10</v>
      </c>
      <c r="E100">
        <v>2</v>
      </c>
      <c r="F100">
        <v>12.54</v>
      </c>
      <c r="G100">
        <v>2.5</v>
      </c>
      <c r="H100" s="5">
        <f t="shared" si="10"/>
        <v>0.19936204146730463</v>
      </c>
      <c r="J100" s="11">
        <f t="shared" si="11"/>
        <v>0</v>
      </c>
      <c r="K100">
        <f t="shared" si="12"/>
        <v>0</v>
      </c>
      <c r="L100">
        <f t="shared" si="13"/>
        <v>7</v>
      </c>
      <c r="M100">
        <f t="shared" si="14"/>
        <v>1</v>
      </c>
      <c r="N100">
        <v>2</v>
      </c>
      <c r="O100">
        <v>16.27</v>
      </c>
      <c r="P100">
        <v>2.5</v>
      </c>
      <c r="Q100" s="5">
        <f t="shared" si="15"/>
        <v>0.15365703749231716</v>
      </c>
      <c r="R100" s="5">
        <f t="shared" si="16"/>
        <v>0.16182265520985073</v>
      </c>
      <c r="S100" s="10">
        <f t="shared" si="17"/>
        <v>3.0043163729662368</v>
      </c>
      <c r="T100" s="12">
        <f t="shared" si="18"/>
        <v>2.6328546002642712</v>
      </c>
      <c r="U100" s="10">
        <f t="shared" si="19"/>
        <v>2.818585486615254</v>
      </c>
    </row>
    <row r="101" spans="1:21" x14ac:dyDescent="0.2">
      <c r="A101" t="s">
        <v>7</v>
      </c>
      <c r="B101" t="s">
        <v>22</v>
      </c>
      <c r="C101" t="s">
        <v>25</v>
      </c>
      <c r="D101" t="s">
        <v>10</v>
      </c>
      <c r="E101">
        <v>2</v>
      </c>
      <c r="F101">
        <v>11.35</v>
      </c>
      <c r="G101">
        <v>2.5</v>
      </c>
      <c r="H101" s="5">
        <f t="shared" si="10"/>
        <v>0.22026431718061676</v>
      </c>
      <c r="J101" s="11">
        <f t="shared" si="11"/>
        <v>1</v>
      </c>
      <c r="K101">
        <f t="shared" si="12"/>
        <v>1</v>
      </c>
      <c r="L101">
        <f t="shared" si="13"/>
        <v>5</v>
      </c>
      <c r="M101">
        <f t="shared" si="14"/>
        <v>1</v>
      </c>
      <c r="N101">
        <v>3</v>
      </c>
      <c r="O101">
        <v>16.29</v>
      </c>
      <c r="P101">
        <v>3.71</v>
      </c>
      <c r="Q101" s="5">
        <f t="shared" si="15"/>
        <v>0.22774708410067526</v>
      </c>
      <c r="R101" s="5">
        <f t="shared" si="16"/>
        <v>0.16225489064323545</v>
      </c>
      <c r="S101" s="10">
        <f t="shared" si="17"/>
        <v>2.8523745884479665</v>
      </c>
      <c r="T101" s="12">
        <f t="shared" si="18"/>
        <v>2.6431321685783051</v>
      </c>
      <c r="U101" s="10">
        <f t="shared" si="19"/>
        <v>2.7477533785131358</v>
      </c>
    </row>
    <row r="102" spans="1:21" x14ac:dyDescent="0.2">
      <c r="A102" t="s">
        <v>11</v>
      </c>
      <c r="B102" t="s">
        <v>8</v>
      </c>
      <c r="C102" t="s">
        <v>23</v>
      </c>
      <c r="D102" t="s">
        <v>24</v>
      </c>
      <c r="E102">
        <v>2</v>
      </c>
      <c r="F102">
        <v>14.26</v>
      </c>
      <c r="G102">
        <v>2.5</v>
      </c>
      <c r="H102" s="5">
        <f t="shared" si="10"/>
        <v>0.17531556802244039</v>
      </c>
      <c r="J102" s="11">
        <f t="shared" si="11"/>
        <v>0</v>
      </c>
      <c r="K102">
        <f t="shared" si="12"/>
        <v>0</v>
      </c>
      <c r="L102">
        <f t="shared" si="13"/>
        <v>4</v>
      </c>
      <c r="M102">
        <f t="shared" si="14"/>
        <v>0</v>
      </c>
      <c r="N102">
        <v>3</v>
      </c>
      <c r="O102">
        <v>16.309999999999999</v>
      </c>
      <c r="P102">
        <v>2</v>
      </c>
      <c r="Q102" s="5">
        <f t="shared" si="15"/>
        <v>0.12262415695892091</v>
      </c>
      <c r="R102" s="5">
        <f t="shared" si="16"/>
        <v>0.15890788520995663</v>
      </c>
      <c r="S102" s="10">
        <f t="shared" si="17"/>
        <v>2.8326639359071408</v>
      </c>
      <c r="T102" s="12">
        <f t="shared" si="18"/>
        <v>2.5917876077743927</v>
      </c>
      <c r="U102" s="10">
        <f t="shared" si="19"/>
        <v>2.7122257718407665</v>
      </c>
    </row>
    <row r="103" spans="1:21" x14ac:dyDescent="0.2">
      <c r="A103" t="s">
        <v>11</v>
      </c>
      <c r="B103" t="s">
        <v>8</v>
      </c>
      <c r="C103" t="s">
        <v>9</v>
      </c>
      <c r="D103" t="s">
        <v>10</v>
      </c>
      <c r="E103">
        <v>2</v>
      </c>
      <c r="F103">
        <v>14.07</v>
      </c>
      <c r="G103">
        <v>2.5</v>
      </c>
      <c r="H103" s="5">
        <f t="shared" si="10"/>
        <v>0.17768301350390903</v>
      </c>
      <c r="J103" s="11">
        <f t="shared" si="11"/>
        <v>0</v>
      </c>
      <c r="K103">
        <f t="shared" si="12"/>
        <v>0</v>
      </c>
      <c r="L103">
        <f t="shared" si="13"/>
        <v>7</v>
      </c>
      <c r="M103">
        <f t="shared" si="14"/>
        <v>1</v>
      </c>
      <c r="N103">
        <v>2</v>
      </c>
      <c r="O103">
        <v>16.32</v>
      </c>
      <c r="P103">
        <v>4.3</v>
      </c>
      <c r="Q103" s="5">
        <f t="shared" si="15"/>
        <v>0.26348039215686275</v>
      </c>
      <c r="R103" s="5">
        <f t="shared" si="16"/>
        <v>0.16182265520985073</v>
      </c>
      <c r="S103" s="10">
        <f t="shared" si="17"/>
        <v>3.0043163729662368</v>
      </c>
      <c r="T103" s="12">
        <f t="shared" si="18"/>
        <v>2.6409457330247639</v>
      </c>
      <c r="U103" s="10">
        <f t="shared" si="19"/>
        <v>2.8226310529955003</v>
      </c>
    </row>
    <row r="104" spans="1:21" x14ac:dyDescent="0.2">
      <c r="A104" t="s">
        <v>11</v>
      </c>
      <c r="B104" t="s">
        <v>8</v>
      </c>
      <c r="C104" t="s">
        <v>9</v>
      </c>
      <c r="D104" t="s">
        <v>10</v>
      </c>
      <c r="E104">
        <v>2</v>
      </c>
      <c r="F104">
        <v>12.66</v>
      </c>
      <c r="G104">
        <v>2.5</v>
      </c>
      <c r="H104" s="5">
        <f t="shared" si="10"/>
        <v>0.19747235387045814</v>
      </c>
      <c r="J104" s="11">
        <f t="shared" si="11"/>
        <v>0</v>
      </c>
      <c r="K104">
        <f t="shared" si="12"/>
        <v>0</v>
      </c>
      <c r="L104">
        <f t="shared" si="13"/>
        <v>7</v>
      </c>
      <c r="M104">
        <f t="shared" si="14"/>
        <v>1</v>
      </c>
      <c r="N104">
        <v>2</v>
      </c>
      <c r="O104">
        <v>16.399999999999999</v>
      </c>
      <c r="P104">
        <v>2.5</v>
      </c>
      <c r="Q104" s="5">
        <f t="shared" si="15"/>
        <v>0.15243902439024393</v>
      </c>
      <c r="R104" s="5">
        <f t="shared" si="16"/>
        <v>0.16182265520985073</v>
      </c>
      <c r="S104" s="10">
        <f t="shared" si="17"/>
        <v>3.0043163729662368</v>
      </c>
      <c r="T104" s="12">
        <f t="shared" si="18"/>
        <v>2.6538915454415517</v>
      </c>
      <c r="U104" s="10">
        <f t="shared" si="19"/>
        <v>2.829103959203894</v>
      </c>
    </row>
    <row r="105" spans="1:21" x14ac:dyDescent="0.2">
      <c r="A105" t="s">
        <v>7</v>
      </c>
      <c r="B105" t="s">
        <v>22</v>
      </c>
      <c r="C105" t="s">
        <v>23</v>
      </c>
      <c r="D105" t="s">
        <v>24</v>
      </c>
      <c r="E105">
        <v>2</v>
      </c>
      <c r="F105">
        <v>16.399999999999999</v>
      </c>
      <c r="G105">
        <v>2.5</v>
      </c>
      <c r="H105" s="5">
        <f t="shared" si="10"/>
        <v>0.15243902439024393</v>
      </c>
      <c r="J105" s="11">
        <f t="shared" si="11"/>
        <v>1</v>
      </c>
      <c r="K105">
        <f t="shared" si="12"/>
        <v>1</v>
      </c>
      <c r="L105">
        <f t="shared" si="13"/>
        <v>4</v>
      </c>
      <c r="M105">
        <f t="shared" si="14"/>
        <v>0</v>
      </c>
      <c r="N105">
        <v>2</v>
      </c>
      <c r="O105">
        <v>16.43</v>
      </c>
      <c r="P105">
        <v>2.2999999999999998</v>
      </c>
      <c r="Q105" s="5">
        <f t="shared" si="15"/>
        <v>0.13998782714546559</v>
      </c>
      <c r="R105" s="5">
        <f t="shared" si="16"/>
        <v>0.16416190696595673</v>
      </c>
      <c r="S105" s="10">
        <f t="shared" si="17"/>
        <v>2.784801098757292</v>
      </c>
      <c r="T105" s="12">
        <f t="shared" si="18"/>
        <v>2.6971801314506689</v>
      </c>
      <c r="U105" s="10">
        <f t="shared" si="19"/>
        <v>2.7409906151039802</v>
      </c>
    </row>
    <row r="106" spans="1:21" x14ac:dyDescent="0.2">
      <c r="A106" t="s">
        <v>7</v>
      </c>
      <c r="B106" t="s">
        <v>22</v>
      </c>
      <c r="C106" t="s">
        <v>21</v>
      </c>
      <c r="D106" t="s">
        <v>10</v>
      </c>
      <c r="E106">
        <v>2</v>
      </c>
      <c r="F106">
        <v>13.27</v>
      </c>
      <c r="G106">
        <v>2.5</v>
      </c>
      <c r="H106" s="5">
        <f t="shared" si="10"/>
        <v>0.18839487565938207</v>
      </c>
      <c r="J106" s="11">
        <f t="shared" si="11"/>
        <v>1</v>
      </c>
      <c r="K106">
        <f t="shared" si="12"/>
        <v>1</v>
      </c>
      <c r="L106">
        <f t="shared" si="13"/>
        <v>6</v>
      </c>
      <c r="M106">
        <f t="shared" si="14"/>
        <v>1</v>
      </c>
      <c r="N106">
        <v>2</v>
      </c>
      <c r="O106">
        <v>16.45</v>
      </c>
      <c r="P106">
        <v>2.4700000000000002</v>
      </c>
      <c r="Q106" s="5">
        <f t="shared" si="15"/>
        <v>0.1501519756838906</v>
      </c>
      <c r="R106" s="5">
        <f t="shared" si="16"/>
        <v>0.16161509557363743</v>
      </c>
      <c r="S106" s="10">
        <f t="shared" si="17"/>
        <v>2.9040479096820868</v>
      </c>
      <c r="T106" s="12">
        <f t="shared" si="18"/>
        <v>2.6585683221863357</v>
      </c>
      <c r="U106" s="10">
        <f t="shared" si="19"/>
        <v>2.7813081159342112</v>
      </c>
    </row>
    <row r="107" spans="1:21" x14ac:dyDescent="0.2">
      <c r="A107" t="s">
        <v>7</v>
      </c>
      <c r="B107" t="s">
        <v>22</v>
      </c>
      <c r="C107" t="s">
        <v>25</v>
      </c>
      <c r="D107" t="s">
        <v>24</v>
      </c>
      <c r="E107">
        <v>2</v>
      </c>
      <c r="F107">
        <v>16.27</v>
      </c>
      <c r="G107">
        <v>2.5</v>
      </c>
      <c r="H107" s="5">
        <f t="shared" si="10"/>
        <v>0.15365703749231716</v>
      </c>
      <c r="J107" s="11">
        <f t="shared" si="11"/>
        <v>1</v>
      </c>
      <c r="K107">
        <f t="shared" si="12"/>
        <v>1</v>
      </c>
      <c r="L107">
        <f t="shared" si="13"/>
        <v>5</v>
      </c>
      <c r="M107">
        <f t="shared" si="14"/>
        <v>0</v>
      </c>
      <c r="N107">
        <v>3</v>
      </c>
      <c r="O107">
        <v>16.47</v>
      </c>
      <c r="P107">
        <v>3.23</v>
      </c>
      <c r="Q107" s="5">
        <f t="shared" si="15"/>
        <v>0.19611414693381907</v>
      </c>
      <c r="R107" s="5">
        <f t="shared" si="16"/>
        <v>0.16317691851978097</v>
      </c>
      <c r="S107" s="10">
        <f t="shared" si="17"/>
        <v>2.7774581445976994</v>
      </c>
      <c r="T107" s="12">
        <f t="shared" si="18"/>
        <v>2.6875238480207924</v>
      </c>
      <c r="U107" s="10">
        <f t="shared" si="19"/>
        <v>2.7324909963092461</v>
      </c>
    </row>
    <row r="108" spans="1:21" x14ac:dyDescent="0.2">
      <c r="A108" t="s">
        <v>7</v>
      </c>
      <c r="B108" t="s">
        <v>22</v>
      </c>
      <c r="C108" t="s">
        <v>21</v>
      </c>
      <c r="D108" t="s">
        <v>10</v>
      </c>
      <c r="E108">
        <v>3</v>
      </c>
      <c r="F108">
        <v>44.3</v>
      </c>
      <c r="G108">
        <v>2.5</v>
      </c>
      <c r="H108" s="5">
        <f t="shared" si="10"/>
        <v>5.6433408577878111E-2</v>
      </c>
      <c r="J108" s="11">
        <f t="shared" si="11"/>
        <v>1</v>
      </c>
      <c r="K108">
        <f t="shared" si="12"/>
        <v>1</v>
      </c>
      <c r="L108">
        <f t="shared" si="13"/>
        <v>6</v>
      </c>
      <c r="M108">
        <f t="shared" si="14"/>
        <v>1</v>
      </c>
      <c r="N108">
        <v>4</v>
      </c>
      <c r="O108">
        <v>16.489999999999998</v>
      </c>
      <c r="P108">
        <v>2</v>
      </c>
      <c r="Q108" s="5">
        <f t="shared" si="15"/>
        <v>0.12128562765312312</v>
      </c>
      <c r="R108" s="5">
        <f t="shared" si="16"/>
        <v>0.15766105850537432</v>
      </c>
      <c r="S108" s="10">
        <f t="shared" si="17"/>
        <v>3.0662179501679163</v>
      </c>
      <c r="T108" s="12">
        <f t="shared" si="18"/>
        <v>2.5998308547536224</v>
      </c>
      <c r="U108" s="10">
        <f t="shared" si="19"/>
        <v>2.8330244024607696</v>
      </c>
    </row>
    <row r="109" spans="1:21" x14ac:dyDescent="0.2">
      <c r="A109" t="s">
        <v>11</v>
      </c>
      <c r="B109" t="s">
        <v>8</v>
      </c>
      <c r="C109" t="s">
        <v>21</v>
      </c>
      <c r="D109" t="s">
        <v>10</v>
      </c>
      <c r="E109">
        <v>4</v>
      </c>
      <c r="F109">
        <v>18.350000000000001</v>
      </c>
      <c r="G109">
        <v>2.5</v>
      </c>
      <c r="H109" s="5">
        <f t="shared" si="10"/>
        <v>0.13623978201634876</v>
      </c>
      <c r="J109" s="11">
        <f t="shared" si="11"/>
        <v>0</v>
      </c>
      <c r="K109">
        <f t="shared" si="12"/>
        <v>0</v>
      </c>
      <c r="L109">
        <f t="shared" si="13"/>
        <v>6</v>
      </c>
      <c r="M109">
        <f t="shared" si="14"/>
        <v>1</v>
      </c>
      <c r="N109">
        <v>2</v>
      </c>
      <c r="O109">
        <v>16.579999999999998</v>
      </c>
      <c r="P109">
        <v>4</v>
      </c>
      <c r="Q109" s="5">
        <f t="shared" si="15"/>
        <v>0.24125452352231608</v>
      </c>
      <c r="R109" s="5">
        <f t="shared" si="16"/>
        <v>0.15907354121717945</v>
      </c>
      <c r="S109" s="10">
        <f t="shared" si="17"/>
        <v>3.2625302894514783</v>
      </c>
      <c r="T109" s="12">
        <f t="shared" si="18"/>
        <v>2.6374393133808351</v>
      </c>
      <c r="U109" s="10">
        <f t="shared" si="19"/>
        <v>2.9499848014161567</v>
      </c>
    </row>
    <row r="110" spans="1:21" x14ac:dyDescent="0.2">
      <c r="A110" t="s">
        <v>7</v>
      </c>
      <c r="B110" t="s">
        <v>8</v>
      </c>
      <c r="C110" t="s">
        <v>23</v>
      </c>
      <c r="D110" t="s">
        <v>24</v>
      </c>
      <c r="E110">
        <v>2</v>
      </c>
      <c r="F110">
        <v>12.48</v>
      </c>
      <c r="G110">
        <v>2.52</v>
      </c>
      <c r="H110" s="5">
        <f t="shared" si="10"/>
        <v>0.20192307692307693</v>
      </c>
      <c r="J110" s="11">
        <f t="shared" si="11"/>
        <v>1</v>
      </c>
      <c r="K110">
        <f t="shared" si="12"/>
        <v>0</v>
      </c>
      <c r="L110">
        <f t="shared" si="13"/>
        <v>4</v>
      </c>
      <c r="M110">
        <f t="shared" si="14"/>
        <v>0</v>
      </c>
      <c r="N110">
        <v>2</v>
      </c>
      <c r="O110">
        <v>16.66</v>
      </c>
      <c r="P110">
        <v>3.4</v>
      </c>
      <c r="Q110" s="5">
        <f t="shared" si="15"/>
        <v>0.20408163265306123</v>
      </c>
      <c r="R110" s="5">
        <f t="shared" si="16"/>
        <v>0.16338839047442422</v>
      </c>
      <c r="S110" s="10">
        <f t="shared" si="17"/>
        <v>2.7814300242005734</v>
      </c>
      <c r="T110" s="12">
        <f t="shared" si="18"/>
        <v>2.7220505853039074</v>
      </c>
      <c r="U110" s="10">
        <f t="shared" si="19"/>
        <v>2.7517403047522402</v>
      </c>
    </row>
    <row r="111" spans="1:21" x14ac:dyDescent="0.2">
      <c r="A111" t="s">
        <v>11</v>
      </c>
      <c r="B111" t="s">
        <v>8</v>
      </c>
      <c r="C111" t="s">
        <v>9</v>
      </c>
      <c r="D111" t="s">
        <v>10</v>
      </c>
      <c r="E111">
        <v>2</v>
      </c>
      <c r="F111">
        <v>17.46</v>
      </c>
      <c r="G111">
        <v>2.54</v>
      </c>
      <c r="H111" s="5">
        <f t="shared" si="10"/>
        <v>0.14547537227949597</v>
      </c>
      <c r="J111" s="11">
        <f t="shared" si="11"/>
        <v>0</v>
      </c>
      <c r="K111">
        <f t="shared" si="12"/>
        <v>0</v>
      </c>
      <c r="L111">
        <f t="shared" si="13"/>
        <v>7</v>
      </c>
      <c r="M111">
        <f t="shared" si="14"/>
        <v>1</v>
      </c>
      <c r="N111">
        <v>2</v>
      </c>
      <c r="O111">
        <v>16.82</v>
      </c>
      <c r="P111">
        <v>4</v>
      </c>
      <c r="Q111" s="5">
        <f t="shared" si="15"/>
        <v>0.23781212841854935</v>
      </c>
      <c r="R111" s="5">
        <f t="shared" si="16"/>
        <v>0.16182265520985073</v>
      </c>
      <c r="S111" s="10">
        <f t="shared" si="17"/>
        <v>3.0043163729662368</v>
      </c>
      <c r="T111" s="12">
        <f t="shared" si="18"/>
        <v>2.7218570606296892</v>
      </c>
      <c r="U111" s="10">
        <f t="shared" si="19"/>
        <v>2.8630867167979632</v>
      </c>
    </row>
    <row r="112" spans="1:21" x14ac:dyDescent="0.2">
      <c r="A112" t="s">
        <v>11</v>
      </c>
      <c r="B112" t="s">
        <v>8</v>
      </c>
      <c r="C112" t="s">
        <v>9</v>
      </c>
      <c r="D112" t="s">
        <v>10</v>
      </c>
      <c r="E112">
        <v>2</v>
      </c>
      <c r="F112">
        <v>23.95</v>
      </c>
      <c r="G112">
        <v>2.5499999999999998</v>
      </c>
      <c r="H112" s="5">
        <f t="shared" si="10"/>
        <v>0.10647181628392484</v>
      </c>
      <c r="J112" s="11">
        <f t="shared" si="11"/>
        <v>0</v>
      </c>
      <c r="K112">
        <f t="shared" si="12"/>
        <v>0</v>
      </c>
      <c r="L112">
        <f t="shared" si="13"/>
        <v>7</v>
      </c>
      <c r="M112">
        <f t="shared" si="14"/>
        <v>1</v>
      </c>
      <c r="N112">
        <v>3</v>
      </c>
      <c r="O112">
        <v>16.93</v>
      </c>
      <c r="P112">
        <v>3.07</v>
      </c>
      <c r="Q112" s="5">
        <f t="shared" si="15"/>
        <v>0.1813349084465446</v>
      </c>
      <c r="R112" s="5">
        <f t="shared" si="16"/>
        <v>0.15911018781030864</v>
      </c>
      <c r="S112" s="10">
        <f t="shared" si="17"/>
        <v>3.0043163729662368</v>
      </c>
      <c r="T112" s="12">
        <f t="shared" si="18"/>
        <v>2.6937354796285251</v>
      </c>
      <c r="U112" s="10">
        <f t="shared" si="19"/>
        <v>2.8490259262973812</v>
      </c>
    </row>
    <row r="113" spans="1:21" x14ac:dyDescent="0.2">
      <c r="A113" t="s">
        <v>11</v>
      </c>
      <c r="B113" t="s">
        <v>22</v>
      </c>
      <c r="C113" t="s">
        <v>23</v>
      </c>
      <c r="D113" t="s">
        <v>24</v>
      </c>
      <c r="E113">
        <v>2</v>
      </c>
      <c r="F113">
        <v>28.44</v>
      </c>
      <c r="G113">
        <v>2.56</v>
      </c>
      <c r="H113" s="5">
        <f t="shared" si="10"/>
        <v>9.0014064697609003E-2</v>
      </c>
      <c r="J113" s="11">
        <f t="shared" si="11"/>
        <v>0</v>
      </c>
      <c r="K113">
        <f t="shared" si="12"/>
        <v>1</v>
      </c>
      <c r="L113">
        <f t="shared" si="13"/>
        <v>4</v>
      </c>
      <c r="M113">
        <f t="shared" si="14"/>
        <v>0</v>
      </c>
      <c r="N113">
        <v>3</v>
      </c>
      <c r="O113">
        <v>16.97</v>
      </c>
      <c r="P113">
        <v>3.5</v>
      </c>
      <c r="Q113" s="5">
        <f t="shared" si="15"/>
        <v>0.20624631703005306</v>
      </c>
      <c r="R113" s="5">
        <f t="shared" si="16"/>
        <v>0.1596814017014892</v>
      </c>
      <c r="S113" s="10">
        <f t="shared" si="17"/>
        <v>2.836035010463859</v>
      </c>
      <c r="T113" s="12">
        <f t="shared" si="18"/>
        <v>2.7097933868742716</v>
      </c>
      <c r="U113" s="10">
        <f t="shared" si="19"/>
        <v>2.7729141986690653</v>
      </c>
    </row>
    <row r="114" spans="1:21" x14ac:dyDescent="0.2">
      <c r="A114" t="s">
        <v>7</v>
      </c>
      <c r="B114" t="s">
        <v>8</v>
      </c>
      <c r="C114" t="s">
        <v>9</v>
      </c>
      <c r="D114" t="s">
        <v>10</v>
      </c>
      <c r="E114">
        <v>2</v>
      </c>
      <c r="F114">
        <v>10.29</v>
      </c>
      <c r="G114">
        <v>2.6</v>
      </c>
      <c r="H114" s="5">
        <f t="shared" si="10"/>
        <v>0.25267249757045679</v>
      </c>
      <c r="J114" s="11">
        <f t="shared" si="11"/>
        <v>1</v>
      </c>
      <c r="K114">
        <f t="shared" si="12"/>
        <v>0</v>
      </c>
      <c r="L114">
        <f t="shared" si="13"/>
        <v>7</v>
      </c>
      <c r="M114">
        <f t="shared" si="14"/>
        <v>1</v>
      </c>
      <c r="N114">
        <v>2</v>
      </c>
      <c r="O114">
        <v>16.989999999999998</v>
      </c>
      <c r="P114">
        <v>1.01</v>
      </c>
      <c r="Q114" s="5">
        <f t="shared" si="15"/>
        <v>5.9446733372572107E-2</v>
      </c>
      <c r="R114" s="5">
        <f t="shared" si="16"/>
        <v>0.16359069307477619</v>
      </c>
      <c r="S114" s="10">
        <f t="shared" si="17"/>
        <v>2.9530824612596698</v>
      </c>
      <c r="T114" s="12">
        <f t="shared" si="18"/>
        <v>2.7794058753404474</v>
      </c>
      <c r="U114" s="10">
        <f t="shared" si="19"/>
        <v>2.8662441683000583</v>
      </c>
    </row>
    <row r="115" spans="1:21" x14ac:dyDescent="0.2">
      <c r="A115" t="s">
        <v>7</v>
      </c>
      <c r="B115" t="s">
        <v>8</v>
      </c>
      <c r="C115" t="s">
        <v>9</v>
      </c>
      <c r="D115" t="s">
        <v>10</v>
      </c>
      <c r="E115">
        <v>2</v>
      </c>
      <c r="F115">
        <v>13.39</v>
      </c>
      <c r="G115">
        <v>2.61</v>
      </c>
      <c r="H115" s="5">
        <f t="shared" si="10"/>
        <v>0.19492158327109782</v>
      </c>
      <c r="J115" s="11">
        <f t="shared" si="11"/>
        <v>1</v>
      </c>
      <c r="K115">
        <f t="shared" si="12"/>
        <v>0</v>
      </c>
      <c r="L115">
        <f t="shared" si="13"/>
        <v>7</v>
      </c>
      <c r="M115">
        <f t="shared" si="14"/>
        <v>1</v>
      </c>
      <c r="N115">
        <v>3</v>
      </c>
      <c r="O115">
        <v>17.07</v>
      </c>
      <c r="P115">
        <v>3</v>
      </c>
      <c r="Q115" s="5">
        <f t="shared" si="15"/>
        <v>0.1757469244288225</v>
      </c>
      <c r="R115" s="5">
        <f t="shared" si="16"/>
        <v>0.16087822567523408</v>
      </c>
      <c r="S115" s="10">
        <f t="shared" si="17"/>
        <v>2.9530824612596698</v>
      </c>
      <c r="T115" s="12">
        <f t="shared" si="18"/>
        <v>2.7461913122762458</v>
      </c>
      <c r="U115" s="10">
        <f t="shared" si="19"/>
        <v>2.849636886767958</v>
      </c>
    </row>
    <row r="116" spans="1:21" x14ac:dyDescent="0.2">
      <c r="A116" t="s">
        <v>11</v>
      </c>
      <c r="B116" t="s">
        <v>8</v>
      </c>
      <c r="C116" t="s">
        <v>21</v>
      </c>
      <c r="D116" t="s">
        <v>10</v>
      </c>
      <c r="E116">
        <v>3</v>
      </c>
      <c r="F116">
        <v>17.59</v>
      </c>
      <c r="G116">
        <v>2.64</v>
      </c>
      <c r="H116" s="5">
        <f t="shared" si="10"/>
        <v>0.15008527572484368</v>
      </c>
      <c r="J116" s="11">
        <f t="shared" si="11"/>
        <v>0</v>
      </c>
      <c r="K116">
        <f t="shared" si="12"/>
        <v>0</v>
      </c>
      <c r="L116">
        <f t="shared" si="13"/>
        <v>6</v>
      </c>
      <c r="M116">
        <f t="shared" si="14"/>
        <v>1</v>
      </c>
      <c r="N116">
        <v>3</v>
      </c>
      <c r="O116">
        <v>17.260000000000002</v>
      </c>
      <c r="P116">
        <v>2.74</v>
      </c>
      <c r="Q116" s="5">
        <f t="shared" si="15"/>
        <v>0.15874855156431053</v>
      </c>
      <c r="R116" s="5">
        <f t="shared" si="16"/>
        <v>0.15636107381763736</v>
      </c>
      <c r="S116" s="10">
        <f t="shared" si="17"/>
        <v>3.1140807873177652</v>
      </c>
      <c r="T116" s="12">
        <f t="shared" si="18"/>
        <v>2.6987921340924212</v>
      </c>
      <c r="U116" s="10">
        <f t="shared" si="19"/>
        <v>2.906436460705093</v>
      </c>
    </row>
    <row r="117" spans="1:21" x14ac:dyDescent="0.2">
      <c r="A117" t="s">
        <v>11</v>
      </c>
      <c r="B117" t="s">
        <v>8</v>
      </c>
      <c r="C117" t="s">
        <v>23</v>
      </c>
      <c r="D117" t="s">
        <v>24</v>
      </c>
      <c r="E117">
        <v>2</v>
      </c>
      <c r="F117">
        <v>17.29</v>
      </c>
      <c r="G117">
        <v>2.71</v>
      </c>
      <c r="H117" s="5">
        <f t="shared" si="10"/>
        <v>0.15673799884326201</v>
      </c>
      <c r="J117" s="11">
        <f t="shared" si="11"/>
        <v>0</v>
      </c>
      <c r="K117">
        <f t="shared" si="12"/>
        <v>0</v>
      </c>
      <c r="L117">
        <f t="shared" si="13"/>
        <v>4</v>
      </c>
      <c r="M117">
        <f t="shared" si="14"/>
        <v>0</v>
      </c>
      <c r="N117">
        <v>2</v>
      </c>
      <c r="O117">
        <v>17.29</v>
      </c>
      <c r="P117">
        <v>2.71</v>
      </c>
      <c r="Q117" s="5">
        <f t="shared" si="15"/>
        <v>0.15673799884326201</v>
      </c>
      <c r="R117" s="5">
        <f t="shared" si="16"/>
        <v>0.16162035260949875</v>
      </c>
      <c r="S117" s="10">
        <f t="shared" si="17"/>
        <v>2.8326639359071408</v>
      </c>
      <c r="T117" s="12">
        <f t="shared" si="18"/>
        <v>2.7944158966182333</v>
      </c>
      <c r="U117" s="10">
        <f t="shared" si="19"/>
        <v>2.8135399162626871</v>
      </c>
    </row>
    <row r="118" spans="1:21" x14ac:dyDescent="0.2">
      <c r="A118" t="s">
        <v>11</v>
      </c>
      <c r="B118" t="s">
        <v>8</v>
      </c>
      <c r="C118" t="s">
        <v>21</v>
      </c>
      <c r="D118" t="s">
        <v>10</v>
      </c>
      <c r="E118">
        <v>2</v>
      </c>
      <c r="F118">
        <v>13.28</v>
      </c>
      <c r="G118">
        <v>2.72</v>
      </c>
      <c r="H118" s="5">
        <f t="shared" si="10"/>
        <v>0.20481927710843376</v>
      </c>
      <c r="J118" s="11">
        <f t="shared" si="11"/>
        <v>0</v>
      </c>
      <c r="K118">
        <f t="shared" si="12"/>
        <v>0</v>
      </c>
      <c r="L118">
        <f t="shared" si="13"/>
        <v>6</v>
      </c>
      <c r="M118">
        <f t="shared" si="14"/>
        <v>1</v>
      </c>
      <c r="N118">
        <v>2</v>
      </c>
      <c r="O118">
        <v>17.309999999999999</v>
      </c>
      <c r="P118">
        <v>3.5</v>
      </c>
      <c r="Q118" s="5">
        <f t="shared" si="15"/>
        <v>0.20219526285384173</v>
      </c>
      <c r="R118" s="5">
        <f t="shared" si="16"/>
        <v>0.15907354121717945</v>
      </c>
      <c r="S118" s="10">
        <f t="shared" si="17"/>
        <v>2.9519107468319357</v>
      </c>
      <c r="T118" s="12">
        <f t="shared" si="18"/>
        <v>2.7535629984693761</v>
      </c>
      <c r="U118" s="10">
        <f t="shared" si="19"/>
        <v>2.8527368726506559</v>
      </c>
    </row>
    <row r="119" spans="1:21" x14ac:dyDescent="0.2">
      <c r="A119" t="s">
        <v>11</v>
      </c>
      <c r="B119" t="s">
        <v>8</v>
      </c>
      <c r="C119" t="s">
        <v>9</v>
      </c>
      <c r="D119" t="s">
        <v>10</v>
      </c>
      <c r="E119">
        <v>3</v>
      </c>
      <c r="F119">
        <v>17.260000000000002</v>
      </c>
      <c r="G119">
        <v>2.74</v>
      </c>
      <c r="H119" s="5">
        <f t="shared" si="10"/>
        <v>0.15874855156431053</v>
      </c>
      <c r="J119" s="11">
        <f t="shared" si="11"/>
        <v>0</v>
      </c>
      <c r="K119">
        <f t="shared" si="12"/>
        <v>0</v>
      </c>
      <c r="L119">
        <f t="shared" si="13"/>
        <v>7</v>
      </c>
      <c r="M119">
        <f t="shared" si="14"/>
        <v>1</v>
      </c>
      <c r="N119">
        <v>2</v>
      </c>
      <c r="O119">
        <v>17.46</v>
      </c>
      <c r="P119">
        <v>2.54</v>
      </c>
      <c r="Q119" s="5">
        <f t="shared" si="15"/>
        <v>0.14547537227949597</v>
      </c>
      <c r="R119" s="5">
        <f t="shared" si="16"/>
        <v>0.16182265520985073</v>
      </c>
      <c r="S119" s="10">
        <f t="shared" si="17"/>
        <v>3.1664864134520667</v>
      </c>
      <c r="T119" s="12">
        <f t="shared" si="18"/>
        <v>2.8254235599639941</v>
      </c>
      <c r="U119" s="10">
        <f t="shared" si="19"/>
        <v>2.9959549867080302</v>
      </c>
    </row>
    <row r="120" spans="1:21" x14ac:dyDescent="0.2">
      <c r="A120" t="s">
        <v>7</v>
      </c>
      <c r="B120" t="s">
        <v>8</v>
      </c>
      <c r="C120" t="s">
        <v>21</v>
      </c>
      <c r="D120" t="s">
        <v>10</v>
      </c>
      <c r="E120">
        <v>2</v>
      </c>
      <c r="F120">
        <v>20.29</v>
      </c>
      <c r="G120">
        <v>2.75</v>
      </c>
      <c r="H120" s="5">
        <f t="shared" si="10"/>
        <v>0.13553474618038444</v>
      </c>
      <c r="J120" s="11">
        <f t="shared" si="11"/>
        <v>1</v>
      </c>
      <c r="K120">
        <f t="shared" si="12"/>
        <v>0</v>
      </c>
      <c r="L120">
        <f t="shared" si="13"/>
        <v>6</v>
      </c>
      <c r="M120">
        <f t="shared" si="14"/>
        <v>1</v>
      </c>
      <c r="N120">
        <v>2</v>
      </c>
      <c r="O120">
        <v>17.47</v>
      </c>
      <c r="P120">
        <v>3.5</v>
      </c>
      <c r="Q120" s="5">
        <f t="shared" si="15"/>
        <v>0.20034344590726963</v>
      </c>
      <c r="R120" s="5">
        <f t="shared" si="16"/>
        <v>0.16084157908210489</v>
      </c>
      <c r="S120" s="10">
        <f t="shared" si="17"/>
        <v>2.9006768351253682</v>
      </c>
      <c r="T120" s="12">
        <f t="shared" si="18"/>
        <v>2.8099023865643722</v>
      </c>
      <c r="U120" s="10">
        <f t="shared" si="19"/>
        <v>2.8552896108448702</v>
      </c>
    </row>
    <row r="121" spans="1:21" x14ac:dyDescent="0.2">
      <c r="A121" t="s">
        <v>7</v>
      </c>
      <c r="B121" t="s">
        <v>8</v>
      </c>
      <c r="C121" t="s">
        <v>23</v>
      </c>
      <c r="D121" t="s">
        <v>24</v>
      </c>
      <c r="E121">
        <v>2</v>
      </c>
      <c r="F121">
        <v>13.16</v>
      </c>
      <c r="G121">
        <v>2.75</v>
      </c>
      <c r="H121" s="5">
        <f t="shared" si="10"/>
        <v>0.20896656534954408</v>
      </c>
      <c r="J121" s="11">
        <f t="shared" si="11"/>
        <v>1</v>
      </c>
      <c r="K121">
        <f t="shared" si="12"/>
        <v>0</v>
      </c>
      <c r="L121">
        <f t="shared" si="13"/>
        <v>4</v>
      </c>
      <c r="M121">
        <f t="shared" si="14"/>
        <v>0</v>
      </c>
      <c r="N121">
        <v>2</v>
      </c>
      <c r="O121">
        <v>17.510000000000002</v>
      </c>
      <c r="P121">
        <v>3</v>
      </c>
      <c r="Q121" s="5">
        <f t="shared" si="15"/>
        <v>0.17133066818960593</v>
      </c>
      <c r="R121" s="5">
        <f t="shared" si="16"/>
        <v>0.16338839047442422</v>
      </c>
      <c r="S121" s="10">
        <f t="shared" si="17"/>
        <v>2.7814300242005734</v>
      </c>
      <c r="T121" s="12">
        <f t="shared" si="18"/>
        <v>2.8609307172071681</v>
      </c>
      <c r="U121" s="10">
        <f t="shared" si="19"/>
        <v>2.8211803707038707</v>
      </c>
    </row>
    <row r="122" spans="1:21" x14ac:dyDescent="0.2">
      <c r="A122" t="s">
        <v>7</v>
      </c>
      <c r="B122" t="s">
        <v>8</v>
      </c>
      <c r="C122" t="s">
        <v>23</v>
      </c>
      <c r="D122" t="s">
        <v>24</v>
      </c>
      <c r="E122">
        <v>2</v>
      </c>
      <c r="F122">
        <v>20.27</v>
      </c>
      <c r="G122">
        <v>2.83</v>
      </c>
      <c r="H122" s="5">
        <f t="shared" si="10"/>
        <v>0.13961519486926494</v>
      </c>
      <c r="J122" s="11">
        <f t="shared" si="11"/>
        <v>1</v>
      </c>
      <c r="K122">
        <f t="shared" si="12"/>
        <v>0</v>
      </c>
      <c r="L122">
        <f t="shared" si="13"/>
        <v>4</v>
      </c>
      <c r="M122">
        <f t="shared" si="14"/>
        <v>0</v>
      </c>
      <c r="N122">
        <v>3</v>
      </c>
      <c r="O122">
        <v>17.59</v>
      </c>
      <c r="P122">
        <v>2.64</v>
      </c>
      <c r="Q122" s="5">
        <f t="shared" si="15"/>
        <v>0.15008527572484368</v>
      </c>
      <c r="R122" s="5">
        <f t="shared" si="16"/>
        <v>0.16067592307488207</v>
      </c>
      <c r="S122" s="10">
        <f t="shared" si="17"/>
        <v>2.7814300242005734</v>
      </c>
      <c r="T122" s="12">
        <f t="shared" si="18"/>
        <v>2.8262894868871755</v>
      </c>
      <c r="U122" s="10">
        <f t="shared" si="19"/>
        <v>2.8038597555438747</v>
      </c>
    </row>
    <row r="123" spans="1:21" x14ac:dyDescent="0.2">
      <c r="A123" t="s">
        <v>7</v>
      </c>
      <c r="B123" t="s">
        <v>22</v>
      </c>
      <c r="C123" t="s">
        <v>21</v>
      </c>
      <c r="D123" t="s">
        <v>10</v>
      </c>
      <c r="E123">
        <v>2</v>
      </c>
      <c r="F123">
        <v>22.12</v>
      </c>
      <c r="G123">
        <v>2.88</v>
      </c>
      <c r="H123" s="5">
        <f t="shared" si="10"/>
        <v>0.13019891500904157</v>
      </c>
      <c r="J123" s="11">
        <f t="shared" si="11"/>
        <v>1</v>
      </c>
      <c r="K123">
        <f t="shared" si="12"/>
        <v>1</v>
      </c>
      <c r="L123">
        <f t="shared" si="13"/>
        <v>6</v>
      </c>
      <c r="M123">
        <f t="shared" si="14"/>
        <v>1</v>
      </c>
      <c r="N123">
        <v>2</v>
      </c>
      <c r="O123">
        <v>17.78</v>
      </c>
      <c r="P123">
        <v>3.27</v>
      </c>
      <c r="Q123" s="5">
        <f t="shared" si="15"/>
        <v>0.18391451068616421</v>
      </c>
      <c r="R123" s="5">
        <f t="shared" si="16"/>
        <v>0.16161509557363743</v>
      </c>
      <c r="S123" s="10">
        <f t="shared" si="17"/>
        <v>2.9040479096820868</v>
      </c>
      <c r="T123" s="12">
        <f t="shared" si="18"/>
        <v>2.8735163992992736</v>
      </c>
      <c r="U123" s="10">
        <f t="shared" si="19"/>
        <v>2.8887821544906802</v>
      </c>
    </row>
    <row r="124" spans="1:21" x14ac:dyDescent="0.2">
      <c r="A124" t="s">
        <v>7</v>
      </c>
      <c r="B124" t="s">
        <v>8</v>
      </c>
      <c r="C124" t="s">
        <v>23</v>
      </c>
      <c r="D124" t="s">
        <v>24</v>
      </c>
      <c r="E124">
        <v>4</v>
      </c>
      <c r="F124">
        <v>24.08</v>
      </c>
      <c r="G124">
        <v>2.92</v>
      </c>
      <c r="H124" s="5">
        <f t="shared" si="10"/>
        <v>0.1212624584717608</v>
      </c>
      <c r="J124" s="11">
        <f t="shared" si="11"/>
        <v>1</v>
      </c>
      <c r="K124">
        <f t="shared" si="12"/>
        <v>0</v>
      </c>
      <c r="L124">
        <f t="shared" si="13"/>
        <v>4</v>
      </c>
      <c r="M124">
        <f t="shared" si="14"/>
        <v>0</v>
      </c>
      <c r="N124">
        <v>4</v>
      </c>
      <c r="O124">
        <v>17.809999999999999</v>
      </c>
      <c r="P124">
        <v>2.34</v>
      </c>
      <c r="Q124" s="5">
        <f t="shared" si="15"/>
        <v>0.13138686131386862</v>
      </c>
      <c r="R124" s="5">
        <f t="shared" si="16"/>
        <v>0.15943435340616108</v>
      </c>
      <c r="S124" s="10">
        <f t="shared" si="17"/>
        <v>3.0920495668201156</v>
      </c>
      <c r="T124" s="12">
        <f t="shared" si="18"/>
        <v>2.8395258341637284</v>
      </c>
      <c r="U124" s="10">
        <f t="shared" si="19"/>
        <v>2.965787700491922</v>
      </c>
    </row>
    <row r="125" spans="1:21" x14ac:dyDescent="0.2">
      <c r="A125" t="s">
        <v>7</v>
      </c>
      <c r="B125" t="s">
        <v>8</v>
      </c>
      <c r="C125" t="s">
        <v>21</v>
      </c>
      <c r="D125" t="s">
        <v>10</v>
      </c>
      <c r="E125">
        <v>2</v>
      </c>
      <c r="F125">
        <v>19.649999999999999</v>
      </c>
      <c r="G125">
        <v>3</v>
      </c>
      <c r="H125" s="5">
        <f t="shared" si="10"/>
        <v>0.15267175572519084</v>
      </c>
      <c r="J125" s="11">
        <f t="shared" si="11"/>
        <v>1</v>
      </c>
      <c r="K125">
        <f t="shared" si="12"/>
        <v>0</v>
      </c>
      <c r="L125">
        <f t="shared" si="13"/>
        <v>6</v>
      </c>
      <c r="M125">
        <f t="shared" si="14"/>
        <v>1</v>
      </c>
      <c r="N125">
        <v>2</v>
      </c>
      <c r="O125">
        <v>17.82</v>
      </c>
      <c r="P125">
        <v>1.75</v>
      </c>
      <c r="Q125" s="5">
        <f t="shared" si="15"/>
        <v>9.8204264870931535E-2</v>
      </c>
      <c r="R125" s="5">
        <f t="shared" si="16"/>
        <v>0.16084157908210489</v>
      </c>
      <c r="S125" s="10">
        <f t="shared" si="17"/>
        <v>2.9006768351253682</v>
      </c>
      <c r="T125" s="12">
        <f t="shared" si="18"/>
        <v>2.866196939243109</v>
      </c>
      <c r="U125" s="10">
        <f t="shared" si="19"/>
        <v>2.8834368871842386</v>
      </c>
    </row>
    <row r="126" spans="1:21" x14ac:dyDescent="0.2">
      <c r="A126" t="s">
        <v>7</v>
      </c>
      <c r="B126" t="s">
        <v>8</v>
      </c>
      <c r="C126" t="s">
        <v>21</v>
      </c>
      <c r="D126" t="s">
        <v>10</v>
      </c>
      <c r="E126">
        <v>2</v>
      </c>
      <c r="F126">
        <v>15.06</v>
      </c>
      <c r="G126">
        <v>3</v>
      </c>
      <c r="H126" s="5">
        <f t="shared" si="10"/>
        <v>0.19920318725099601</v>
      </c>
      <c r="J126" s="11">
        <f t="shared" si="11"/>
        <v>1</v>
      </c>
      <c r="K126">
        <f t="shared" si="12"/>
        <v>0</v>
      </c>
      <c r="L126">
        <f t="shared" si="13"/>
        <v>6</v>
      </c>
      <c r="M126">
        <f t="shared" si="14"/>
        <v>1</v>
      </c>
      <c r="N126">
        <v>2</v>
      </c>
      <c r="O126">
        <v>17.89</v>
      </c>
      <c r="P126">
        <v>2</v>
      </c>
      <c r="Q126" s="5">
        <f t="shared" si="15"/>
        <v>0.11179429849077696</v>
      </c>
      <c r="R126" s="5">
        <f t="shared" si="16"/>
        <v>0.16084157908210489</v>
      </c>
      <c r="S126" s="10">
        <f t="shared" si="17"/>
        <v>2.9006768351253682</v>
      </c>
      <c r="T126" s="12">
        <f t="shared" si="18"/>
        <v>2.8774558497788565</v>
      </c>
      <c r="U126" s="10">
        <f t="shared" si="19"/>
        <v>2.8890663424521126</v>
      </c>
    </row>
    <row r="127" spans="1:21" x14ac:dyDescent="0.2">
      <c r="A127" t="s">
        <v>11</v>
      </c>
      <c r="B127" t="s">
        <v>8</v>
      </c>
      <c r="C127" t="s">
        <v>9</v>
      </c>
      <c r="D127" t="s">
        <v>10</v>
      </c>
      <c r="E127">
        <v>2</v>
      </c>
      <c r="F127">
        <v>18.29</v>
      </c>
      <c r="G127">
        <v>3</v>
      </c>
      <c r="H127" s="5">
        <f t="shared" si="10"/>
        <v>0.16402405686167304</v>
      </c>
      <c r="J127" s="11">
        <f t="shared" si="11"/>
        <v>0</v>
      </c>
      <c r="K127">
        <f t="shared" si="12"/>
        <v>0</v>
      </c>
      <c r="L127">
        <f t="shared" si="13"/>
        <v>7</v>
      </c>
      <c r="M127">
        <f t="shared" si="14"/>
        <v>1</v>
      </c>
      <c r="N127">
        <v>2</v>
      </c>
      <c r="O127">
        <v>17.920000000000002</v>
      </c>
      <c r="P127">
        <v>4.08</v>
      </c>
      <c r="Q127" s="5">
        <f t="shared" si="15"/>
        <v>0.22767857142857142</v>
      </c>
      <c r="R127" s="5">
        <f t="shared" si="16"/>
        <v>0.16182265520985073</v>
      </c>
      <c r="S127" s="10">
        <f t="shared" si="17"/>
        <v>3.0043163729662368</v>
      </c>
      <c r="T127" s="12">
        <f t="shared" si="18"/>
        <v>2.8998619813605253</v>
      </c>
      <c r="U127" s="10">
        <f t="shared" si="19"/>
        <v>2.9520891771633808</v>
      </c>
    </row>
    <row r="128" spans="1:21" x14ac:dyDescent="0.2">
      <c r="A128" t="s">
        <v>11</v>
      </c>
      <c r="B128" t="s">
        <v>8</v>
      </c>
      <c r="C128" t="s">
        <v>9</v>
      </c>
      <c r="D128" t="s">
        <v>10</v>
      </c>
      <c r="E128">
        <v>2</v>
      </c>
      <c r="F128">
        <v>18.04</v>
      </c>
      <c r="G128">
        <v>3</v>
      </c>
      <c r="H128" s="5">
        <f t="shared" si="10"/>
        <v>0.16629711751662973</v>
      </c>
      <c r="J128" s="11">
        <f t="shared" si="11"/>
        <v>0</v>
      </c>
      <c r="K128">
        <f t="shared" si="12"/>
        <v>0</v>
      </c>
      <c r="L128">
        <f t="shared" si="13"/>
        <v>7</v>
      </c>
      <c r="M128">
        <f t="shared" si="14"/>
        <v>1</v>
      </c>
      <c r="N128">
        <v>2</v>
      </c>
      <c r="O128">
        <v>17.920000000000002</v>
      </c>
      <c r="P128">
        <v>3.08</v>
      </c>
      <c r="Q128" s="5">
        <f t="shared" si="15"/>
        <v>0.171875</v>
      </c>
      <c r="R128" s="5">
        <f t="shared" si="16"/>
        <v>0.16182265520985073</v>
      </c>
      <c r="S128" s="10">
        <f t="shared" si="17"/>
        <v>3.0043163729662368</v>
      </c>
      <c r="T128" s="12">
        <f t="shared" si="18"/>
        <v>2.8998619813605253</v>
      </c>
      <c r="U128" s="10">
        <f t="shared" si="19"/>
        <v>2.9520891771633808</v>
      </c>
    </row>
    <row r="129" spans="1:21" x14ac:dyDescent="0.2">
      <c r="A129" t="s">
        <v>11</v>
      </c>
      <c r="B129" t="s">
        <v>8</v>
      </c>
      <c r="C129" t="s">
        <v>23</v>
      </c>
      <c r="D129" t="s">
        <v>24</v>
      </c>
      <c r="E129">
        <v>2</v>
      </c>
      <c r="F129">
        <v>22.76</v>
      </c>
      <c r="G129">
        <v>3</v>
      </c>
      <c r="H129" s="5">
        <f t="shared" si="10"/>
        <v>0.13181019332161686</v>
      </c>
      <c r="J129" s="11">
        <f t="shared" si="11"/>
        <v>0</v>
      </c>
      <c r="K129">
        <f t="shared" si="12"/>
        <v>0</v>
      </c>
      <c r="L129">
        <f t="shared" si="13"/>
        <v>4</v>
      </c>
      <c r="M129">
        <f t="shared" si="14"/>
        <v>0</v>
      </c>
      <c r="N129">
        <v>2</v>
      </c>
      <c r="O129">
        <v>18.04</v>
      </c>
      <c r="P129">
        <v>3</v>
      </c>
      <c r="Q129" s="5">
        <f t="shared" si="15"/>
        <v>0.16629711751662973</v>
      </c>
      <c r="R129" s="5">
        <f t="shared" si="16"/>
        <v>0.16162035260949875</v>
      </c>
      <c r="S129" s="10">
        <f t="shared" si="17"/>
        <v>2.8326639359071408</v>
      </c>
      <c r="T129" s="12">
        <f t="shared" si="18"/>
        <v>2.9156311610753574</v>
      </c>
      <c r="U129" s="10">
        <f t="shared" si="19"/>
        <v>2.8741475484912491</v>
      </c>
    </row>
    <row r="130" spans="1:21" x14ac:dyDescent="0.2">
      <c r="A130" t="s">
        <v>11</v>
      </c>
      <c r="B130" t="s">
        <v>22</v>
      </c>
      <c r="C130" t="s">
        <v>23</v>
      </c>
      <c r="D130" t="s">
        <v>24</v>
      </c>
      <c r="E130">
        <v>2</v>
      </c>
      <c r="F130">
        <v>19.440000000000001</v>
      </c>
      <c r="G130">
        <v>3</v>
      </c>
      <c r="H130" s="5">
        <f t="shared" ref="H130:H193" si="20">G130/F130</f>
        <v>0.15432098765432098</v>
      </c>
      <c r="J130" s="11">
        <f t="shared" ref="J130:J193" si="21">IF(A130="Male",0, 1)</f>
        <v>0</v>
      </c>
      <c r="K130">
        <f t="shared" ref="K130:K193" si="22">IF(B130="No",0, 1)</f>
        <v>1</v>
      </c>
      <c r="L130">
        <f t="shared" ref="L130:L193" si="23">IF(C130="Mon",1,IF(C130="Tues",2,IF(C130="Wed",3,IF(C130="Thur",4,IF(C130="Fri",5,IF(C130="Sat",6,7))))))</f>
        <v>4</v>
      </c>
      <c r="M130">
        <f t="shared" ref="M130:M193" si="24">IF(D130="Lunch",0,1)</f>
        <v>0</v>
      </c>
      <c r="N130">
        <v>3</v>
      </c>
      <c r="O130">
        <v>18.149999999999999</v>
      </c>
      <c r="P130">
        <v>3.5</v>
      </c>
      <c r="Q130" s="5">
        <f t="shared" ref="Q130:Q193" si="25">P130/O130</f>
        <v>0.1928374655647383</v>
      </c>
      <c r="R130" s="5">
        <f t="shared" ref="R130:R193" si="26">AVERAGE(IF(A130="Female",GETPIVOTDATA("tip %",$W$26,"sex","Female"),GETPIVOTDATA("tip %",$W$26,"sex","Male")),IF(K130=0,GETPIVOTDATA("tip %",$AA$26,"smoker","No"),GETPIVOTDATA("tip %",$AA$26,"smoker","Yes")),IF(C130=$W$33,GETPIVOTDATA("tip %",$W$32,"day","Thur"),IF(C130=$W$34,GETPIVOTDATA("tip %",$W$32,"day","Fri"),IF(C130=$W$35,GETPIVOTDATA("tip %",$W$32,"day","Sat"),IF(C130=$W$36,GETPIVOTDATA("tip %",$W$32,"day","Sun"),GETPIVOTDATA("tip %",$W$32))))),IF(D130=$AE$27,GETPIVOTDATA("tip %",$AE$26,"time","Dinner"),GETPIVOTDATA("tip %",$AE$26,"time","Lunch")),IF(N130=$AA$33,GETPIVOTDATA("Average of tip %",$AA$32,"size",1),IF(N130=$AA$34,GETPIVOTDATA("Average of tip %",$AA$32,"size",2),IF(N130=$AA$35,GETPIVOTDATA("Average of tip %",$AA$32,"size",3),IF(N130=$AA$36,GETPIVOTDATA("Average of tip %",$AA$32,"size",4),IF(N130=$AA$37,GETPIVOTDATA("Average of tip %",$AA$32,"size",5),GETPIVOTDATA("Average of tip %",$AA$32,"size",6)))))))</f>
        <v>0.1596814017014892</v>
      </c>
      <c r="S130" s="10">
        <f t="shared" si="17"/>
        <v>2.836035010463859</v>
      </c>
      <c r="T130" s="12">
        <f t="shared" si="18"/>
        <v>2.8982174408820289</v>
      </c>
      <c r="U130" s="10">
        <f t="shared" si="19"/>
        <v>2.8671262256729442</v>
      </c>
    </row>
    <row r="131" spans="1:21" x14ac:dyDescent="0.2">
      <c r="A131" t="s">
        <v>11</v>
      </c>
      <c r="B131" t="s">
        <v>8</v>
      </c>
      <c r="C131" t="s">
        <v>23</v>
      </c>
      <c r="D131" t="s">
        <v>24</v>
      </c>
      <c r="E131">
        <v>2</v>
      </c>
      <c r="F131">
        <v>21.16</v>
      </c>
      <c r="G131">
        <v>3</v>
      </c>
      <c r="H131" s="5">
        <f t="shared" si="20"/>
        <v>0.14177693761814744</v>
      </c>
      <c r="J131" s="11">
        <f t="shared" si="21"/>
        <v>0</v>
      </c>
      <c r="K131">
        <f t="shared" si="22"/>
        <v>0</v>
      </c>
      <c r="L131">
        <f t="shared" si="23"/>
        <v>4</v>
      </c>
      <c r="M131">
        <f t="shared" si="24"/>
        <v>0</v>
      </c>
      <c r="N131">
        <v>2</v>
      </c>
      <c r="O131">
        <v>18.239999999999998</v>
      </c>
      <c r="P131">
        <v>3.76</v>
      </c>
      <c r="Q131" s="5">
        <f t="shared" si="25"/>
        <v>0.20614035087719298</v>
      </c>
      <c r="R131" s="5">
        <f t="shared" si="26"/>
        <v>0.16162035260949875</v>
      </c>
      <c r="S131" s="10">
        <f t="shared" ref="S131:S194" si="27">AVERAGE(IF(A131=$W$27,GETPIVOTDATA("Average of tip",$W$26,"sex","Female"),GETPIVOTDATA("Average of tip",$W$26,"sex","Male")),IF(B131=$AA$27,GETPIVOTDATA("Average of tip",$AA$26,"smoker","No"),GETPIVOTDATA("Average of tip",$AA$26,"smoker","Yes")),IF(C131=$W$33,GETPIVOTDATA("Average of tip",$W$32,"day","Thur"),IF(C131=$W$34,GETPIVOTDATA("Average of tip",$W$32,"day","Fri"),IF(C131=$W$35,GETPIVOTDATA("Average of tip",$W$32,"day","Sat"),GETPIVOTDATA("Average of tip",$W$32,"day","Sun")))),IF(D131=$AE$27,GETPIVOTDATA("Average of tip",$AE$26,"time","Dinner"),GETPIVOTDATA("Average of tip",$AE$26,"time","Lunch")),IF(E131=$AA$33,GETPIVOTDATA("Average of tip",$AA$32,"size",1),IF(E131=$AA$34,GETPIVOTDATA("Average of tip",$AA$32,"size",2),IF(E131=$AA$35,GETPIVOTDATA("Average of tip",$AA$32,"size",3),IF(E131=$AA$36,GETPIVOTDATA("Average of tip",$AA$32,"size",4),IF(E131=$AA$37,GETPIVOTDATA("Average of tip",$AA$32,"size",5),GETPIVOTDATA("Average of tip",$AA$32,"size",6)))))))</f>
        <v>2.8326639359071408</v>
      </c>
      <c r="T131" s="12">
        <f t="shared" ref="T131:T194" si="28">R131*O131</f>
        <v>2.9479552315972568</v>
      </c>
      <c r="U131" s="10">
        <f t="shared" ref="U131:U194" si="29">AVERAGE(S131,T131)</f>
        <v>2.8903095837521988</v>
      </c>
    </row>
    <row r="132" spans="1:21" x14ac:dyDescent="0.2">
      <c r="A132" t="s">
        <v>11</v>
      </c>
      <c r="B132" t="s">
        <v>22</v>
      </c>
      <c r="C132" t="s">
        <v>25</v>
      </c>
      <c r="D132" t="s">
        <v>10</v>
      </c>
      <c r="E132">
        <v>2</v>
      </c>
      <c r="F132">
        <v>28.97</v>
      </c>
      <c r="G132">
        <v>3</v>
      </c>
      <c r="H132" s="5">
        <f t="shared" si="20"/>
        <v>0.10355540214014498</v>
      </c>
      <c r="J132" s="11">
        <f t="shared" si="21"/>
        <v>0</v>
      </c>
      <c r="K132">
        <f t="shared" si="22"/>
        <v>1</v>
      </c>
      <c r="L132">
        <f t="shared" si="23"/>
        <v>5</v>
      </c>
      <c r="M132">
        <f t="shared" si="24"/>
        <v>1</v>
      </c>
      <c r="N132">
        <v>2</v>
      </c>
      <c r="O132">
        <v>18.260000000000002</v>
      </c>
      <c r="P132">
        <v>3.25</v>
      </c>
      <c r="Q132" s="5">
        <f t="shared" si="25"/>
        <v>0.17798466593647316</v>
      </c>
      <c r="R132" s="5">
        <f t="shared" si="26"/>
        <v>0.16319932017785216</v>
      </c>
      <c r="S132" s="10">
        <f t="shared" si="27"/>
        <v>2.903608500154534</v>
      </c>
      <c r="T132" s="12">
        <f t="shared" si="28"/>
        <v>2.9800195864475807</v>
      </c>
      <c r="U132" s="10">
        <f t="shared" si="29"/>
        <v>2.9418140433010573</v>
      </c>
    </row>
    <row r="133" spans="1:21" x14ac:dyDescent="0.2">
      <c r="A133" t="s">
        <v>11</v>
      </c>
      <c r="B133" t="s">
        <v>22</v>
      </c>
      <c r="C133" t="s">
        <v>25</v>
      </c>
      <c r="D133" t="s">
        <v>10</v>
      </c>
      <c r="E133">
        <v>2</v>
      </c>
      <c r="F133">
        <v>21.01</v>
      </c>
      <c r="G133">
        <v>3</v>
      </c>
      <c r="H133" s="5">
        <f t="shared" si="20"/>
        <v>0.1427891480247501</v>
      </c>
      <c r="J133" s="11">
        <f t="shared" si="21"/>
        <v>0</v>
      </c>
      <c r="K133">
        <f t="shared" si="22"/>
        <v>1</v>
      </c>
      <c r="L133">
        <f t="shared" si="23"/>
        <v>5</v>
      </c>
      <c r="M133">
        <f t="shared" si="24"/>
        <v>1</v>
      </c>
      <c r="N133">
        <v>2</v>
      </c>
      <c r="O133">
        <v>18.28</v>
      </c>
      <c r="P133">
        <v>4</v>
      </c>
      <c r="Q133" s="5">
        <f t="shared" si="25"/>
        <v>0.21881838074398249</v>
      </c>
      <c r="R133" s="5">
        <f t="shared" si="26"/>
        <v>0.16319932017785216</v>
      </c>
      <c r="S133" s="10">
        <f t="shared" si="27"/>
        <v>2.903608500154534</v>
      </c>
      <c r="T133" s="12">
        <f t="shared" si="28"/>
        <v>2.9832835728511378</v>
      </c>
      <c r="U133" s="10">
        <f t="shared" si="29"/>
        <v>2.9434460365028361</v>
      </c>
    </row>
    <row r="134" spans="1:21" x14ac:dyDescent="0.2">
      <c r="A134" t="s">
        <v>7</v>
      </c>
      <c r="B134" t="s">
        <v>22</v>
      </c>
      <c r="C134" t="s">
        <v>25</v>
      </c>
      <c r="D134" t="s">
        <v>10</v>
      </c>
      <c r="E134">
        <v>2</v>
      </c>
      <c r="F134">
        <v>15.38</v>
      </c>
      <c r="G134">
        <v>3</v>
      </c>
      <c r="H134" s="5">
        <f t="shared" si="20"/>
        <v>0.19505851755526657</v>
      </c>
      <c r="J134" s="11">
        <f t="shared" si="21"/>
        <v>1</v>
      </c>
      <c r="K134">
        <f t="shared" si="22"/>
        <v>1</v>
      </c>
      <c r="L134">
        <f t="shared" si="23"/>
        <v>5</v>
      </c>
      <c r="M134">
        <f t="shared" si="24"/>
        <v>1</v>
      </c>
      <c r="N134">
        <v>2</v>
      </c>
      <c r="O134">
        <v>18.29</v>
      </c>
      <c r="P134">
        <v>3</v>
      </c>
      <c r="Q134" s="5">
        <f t="shared" si="25"/>
        <v>0.16402405686167304</v>
      </c>
      <c r="R134" s="5">
        <f t="shared" si="26"/>
        <v>0.16496735804277757</v>
      </c>
      <c r="S134" s="10">
        <f t="shared" si="27"/>
        <v>2.8523745884479665</v>
      </c>
      <c r="T134" s="12">
        <f t="shared" si="28"/>
        <v>3.0172529786024014</v>
      </c>
      <c r="U134" s="10">
        <f t="shared" si="29"/>
        <v>2.934813783525184</v>
      </c>
    </row>
    <row r="135" spans="1:21" x14ac:dyDescent="0.2">
      <c r="A135" t="s">
        <v>11</v>
      </c>
      <c r="B135" t="s">
        <v>8</v>
      </c>
      <c r="C135" t="s">
        <v>21</v>
      </c>
      <c r="D135" t="s">
        <v>10</v>
      </c>
      <c r="E135">
        <v>2</v>
      </c>
      <c r="F135">
        <v>14</v>
      </c>
      <c r="G135">
        <v>3</v>
      </c>
      <c r="H135" s="5">
        <f t="shared" si="20"/>
        <v>0.21428571428571427</v>
      </c>
      <c r="J135" s="11">
        <f t="shared" si="21"/>
        <v>0</v>
      </c>
      <c r="K135">
        <f t="shared" si="22"/>
        <v>0</v>
      </c>
      <c r="L135">
        <f t="shared" si="23"/>
        <v>6</v>
      </c>
      <c r="M135">
        <f t="shared" si="24"/>
        <v>1</v>
      </c>
      <c r="N135">
        <v>4</v>
      </c>
      <c r="O135">
        <v>18.29</v>
      </c>
      <c r="P135">
        <v>3.76</v>
      </c>
      <c r="Q135" s="5">
        <f t="shared" si="25"/>
        <v>0.20557681793329688</v>
      </c>
      <c r="R135" s="5">
        <f t="shared" si="26"/>
        <v>0.15511950414891634</v>
      </c>
      <c r="S135" s="10">
        <f t="shared" si="27"/>
        <v>2.9519107468319357</v>
      </c>
      <c r="T135" s="12">
        <f t="shared" si="28"/>
        <v>2.8371357308836798</v>
      </c>
      <c r="U135" s="10">
        <f t="shared" si="29"/>
        <v>2.8945232388578077</v>
      </c>
    </row>
    <row r="136" spans="1:21" x14ac:dyDescent="0.2">
      <c r="A136" t="s">
        <v>7</v>
      </c>
      <c r="B136" t="s">
        <v>22</v>
      </c>
      <c r="C136" t="s">
        <v>9</v>
      </c>
      <c r="D136" t="s">
        <v>10</v>
      </c>
      <c r="E136">
        <v>2</v>
      </c>
      <c r="F136">
        <v>17.510000000000002</v>
      </c>
      <c r="G136">
        <v>3</v>
      </c>
      <c r="H136" s="5">
        <f t="shared" si="20"/>
        <v>0.17133066818960593</v>
      </c>
      <c r="J136" s="11">
        <f t="shared" si="21"/>
        <v>1</v>
      </c>
      <c r="K136">
        <f t="shared" si="22"/>
        <v>1</v>
      </c>
      <c r="L136">
        <f t="shared" si="23"/>
        <v>7</v>
      </c>
      <c r="M136">
        <f t="shared" si="24"/>
        <v>1</v>
      </c>
      <c r="N136">
        <v>4</v>
      </c>
      <c r="O136">
        <v>18.350000000000001</v>
      </c>
      <c r="P136">
        <v>2.5</v>
      </c>
      <c r="Q136" s="5">
        <f t="shared" si="25"/>
        <v>0.13623978201634876</v>
      </c>
      <c r="R136" s="5">
        <f t="shared" si="26"/>
        <v>0.16041017249804559</v>
      </c>
      <c r="S136" s="10">
        <f t="shared" si="27"/>
        <v>2.9564535358163879</v>
      </c>
      <c r="T136" s="12">
        <f t="shared" si="28"/>
        <v>2.943526665339137</v>
      </c>
      <c r="U136" s="10">
        <f t="shared" si="29"/>
        <v>2.9499901005777627</v>
      </c>
    </row>
    <row r="137" spans="1:21" x14ac:dyDescent="0.2">
      <c r="A137" t="s">
        <v>11</v>
      </c>
      <c r="B137" t="s">
        <v>22</v>
      </c>
      <c r="C137" t="s">
        <v>9</v>
      </c>
      <c r="D137" t="s">
        <v>10</v>
      </c>
      <c r="E137">
        <v>2</v>
      </c>
      <c r="F137">
        <v>40.549999999999997</v>
      </c>
      <c r="G137">
        <v>3</v>
      </c>
      <c r="H137" s="5">
        <f t="shared" si="20"/>
        <v>7.3982737361282372E-2</v>
      </c>
      <c r="J137" s="11">
        <f t="shared" si="21"/>
        <v>0</v>
      </c>
      <c r="K137">
        <f t="shared" si="22"/>
        <v>1</v>
      </c>
      <c r="L137">
        <f t="shared" si="23"/>
        <v>7</v>
      </c>
      <c r="M137">
        <f t="shared" si="24"/>
        <v>1</v>
      </c>
      <c r="N137">
        <v>4</v>
      </c>
      <c r="O137">
        <v>18.43</v>
      </c>
      <c r="P137">
        <v>3</v>
      </c>
      <c r="Q137" s="5">
        <f t="shared" si="25"/>
        <v>0.16277807921866522</v>
      </c>
      <c r="R137" s="5">
        <f t="shared" si="26"/>
        <v>0.15864213463312013</v>
      </c>
      <c r="S137" s="10">
        <f t="shared" si="27"/>
        <v>3.0076874475229554</v>
      </c>
      <c r="T137" s="12">
        <f t="shared" si="28"/>
        <v>2.9237745412884037</v>
      </c>
      <c r="U137" s="10">
        <f t="shared" si="29"/>
        <v>2.9657309944056793</v>
      </c>
    </row>
    <row r="138" spans="1:21" x14ac:dyDescent="0.2">
      <c r="A138" t="s">
        <v>11</v>
      </c>
      <c r="B138" t="s">
        <v>22</v>
      </c>
      <c r="C138" t="s">
        <v>21</v>
      </c>
      <c r="D138" t="s">
        <v>10</v>
      </c>
      <c r="E138">
        <v>2</v>
      </c>
      <c r="F138">
        <v>15.53</v>
      </c>
      <c r="G138">
        <v>3</v>
      </c>
      <c r="H138" s="5">
        <f t="shared" si="20"/>
        <v>0.19317450096587252</v>
      </c>
      <c r="J138" s="11">
        <f t="shared" si="21"/>
        <v>0</v>
      </c>
      <c r="K138">
        <f t="shared" si="22"/>
        <v>1</v>
      </c>
      <c r="L138">
        <f t="shared" si="23"/>
        <v>6</v>
      </c>
      <c r="M138">
        <f t="shared" si="24"/>
        <v>1</v>
      </c>
      <c r="N138">
        <v>3</v>
      </c>
      <c r="O138">
        <v>18.64</v>
      </c>
      <c r="P138">
        <v>1.36</v>
      </c>
      <c r="Q138" s="5">
        <f t="shared" si="25"/>
        <v>7.2961373390557943E-2</v>
      </c>
      <c r="R138" s="5">
        <f t="shared" si="26"/>
        <v>0.15713459030916987</v>
      </c>
      <c r="S138" s="10">
        <f t="shared" si="27"/>
        <v>2.9552818213886538</v>
      </c>
      <c r="T138" s="12">
        <f t="shared" si="28"/>
        <v>2.9289887633629266</v>
      </c>
      <c r="U138" s="10">
        <f t="shared" si="29"/>
        <v>2.9421352923757902</v>
      </c>
    </row>
    <row r="139" spans="1:21" x14ac:dyDescent="0.2">
      <c r="A139" t="s">
        <v>7</v>
      </c>
      <c r="B139" t="s">
        <v>8</v>
      </c>
      <c r="C139" t="s">
        <v>23</v>
      </c>
      <c r="D139" t="s">
        <v>10</v>
      </c>
      <c r="E139">
        <v>2</v>
      </c>
      <c r="F139">
        <v>18.78</v>
      </c>
      <c r="G139">
        <v>3</v>
      </c>
      <c r="H139" s="5">
        <f t="shared" si="20"/>
        <v>0.15974440894568689</v>
      </c>
      <c r="J139" s="11">
        <f t="shared" si="21"/>
        <v>1</v>
      </c>
      <c r="K139">
        <f t="shared" si="22"/>
        <v>0</v>
      </c>
      <c r="L139">
        <f t="shared" si="23"/>
        <v>4</v>
      </c>
      <c r="M139">
        <f t="shared" si="24"/>
        <v>1</v>
      </c>
      <c r="N139">
        <v>3</v>
      </c>
      <c r="O139">
        <v>18.690000000000001</v>
      </c>
      <c r="P139">
        <v>2.31</v>
      </c>
      <c r="Q139" s="5">
        <f t="shared" si="25"/>
        <v>0.12359550561797752</v>
      </c>
      <c r="R139" s="5">
        <f t="shared" si="26"/>
        <v>0.15975389519833655</v>
      </c>
      <c r="S139" s="10">
        <f t="shared" si="27"/>
        <v>2.856346468050841</v>
      </c>
      <c r="T139" s="12">
        <f t="shared" si="28"/>
        <v>2.9858003012569103</v>
      </c>
      <c r="U139" s="10">
        <f t="shared" si="29"/>
        <v>2.9210733846538757</v>
      </c>
    </row>
    <row r="140" spans="1:21" x14ac:dyDescent="0.2">
      <c r="A140" t="s">
        <v>7</v>
      </c>
      <c r="B140" t="s">
        <v>8</v>
      </c>
      <c r="C140" t="s">
        <v>21</v>
      </c>
      <c r="D140" t="s">
        <v>10</v>
      </c>
      <c r="E140">
        <v>3</v>
      </c>
      <c r="F140">
        <v>17.07</v>
      </c>
      <c r="G140">
        <v>3</v>
      </c>
      <c r="H140" s="5">
        <f t="shared" si="20"/>
        <v>0.1757469244288225</v>
      </c>
      <c r="J140" s="11">
        <f t="shared" si="21"/>
        <v>1</v>
      </c>
      <c r="K140">
        <f t="shared" si="22"/>
        <v>0</v>
      </c>
      <c r="L140">
        <f t="shared" si="23"/>
        <v>6</v>
      </c>
      <c r="M140">
        <f t="shared" si="24"/>
        <v>1</v>
      </c>
      <c r="N140">
        <v>3</v>
      </c>
      <c r="O140">
        <v>18.71</v>
      </c>
      <c r="P140">
        <v>4</v>
      </c>
      <c r="Q140" s="5">
        <f t="shared" si="25"/>
        <v>0.2137894174238375</v>
      </c>
      <c r="R140" s="5">
        <f t="shared" si="26"/>
        <v>0.15812911168256277</v>
      </c>
      <c r="S140" s="10">
        <f t="shared" si="27"/>
        <v>3.0628468756111977</v>
      </c>
      <c r="T140" s="12">
        <f t="shared" si="28"/>
        <v>2.9585956795807498</v>
      </c>
      <c r="U140" s="10">
        <f t="shared" si="29"/>
        <v>3.010721277595974</v>
      </c>
    </row>
    <row r="141" spans="1:21" x14ac:dyDescent="0.2">
      <c r="A141" t="s">
        <v>7</v>
      </c>
      <c r="B141" t="s">
        <v>8</v>
      </c>
      <c r="C141" t="s">
        <v>25</v>
      </c>
      <c r="D141" t="s">
        <v>24</v>
      </c>
      <c r="E141">
        <v>3</v>
      </c>
      <c r="F141">
        <v>15.98</v>
      </c>
      <c r="G141">
        <v>3</v>
      </c>
      <c r="H141" s="5">
        <f t="shared" si="20"/>
        <v>0.18773466833541927</v>
      </c>
      <c r="J141" s="11">
        <f t="shared" si="21"/>
        <v>1</v>
      </c>
      <c r="K141">
        <f t="shared" si="22"/>
        <v>0</v>
      </c>
      <c r="L141">
        <f t="shared" si="23"/>
        <v>5</v>
      </c>
      <c r="M141">
        <f t="shared" si="24"/>
        <v>0</v>
      </c>
      <c r="N141">
        <v>2</v>
      </c>
      <c r="O141">
        <v>18.78</v>
      </c>
      <c r="P141">
        <v>3</v>
      </c>
      <c r="Q141" s="5">
        <f t="shared" si="25"/>
        <v>0.15974440894568689</v>
      </c>
      <c r="R141" s="5">
        <f t="shared" si="26"/>
        <v>0.16511586942779055</v>
      </c>
      <c r="S141" s="10">
        <f t="shared" si="27"/>
        <v>2.9362571105268107</v>
      </c>
      <c r="T141" s="12">
        <f t="shared" si="28"/>
        <v>3.1008760278539067</v>
      </c>
      <c r="U141" s="10">
        <f t="shared" si="29"/>
        <v>3.0185665691903587</v>
      </c>
    </row>
    <row r="142" spans="1:21" x14ac:dyDescent="0.2">
      <c r="A142" t="s">
        <v>11</v>
      </c>
      <c r="B142" t="s">
        <v>22</v>
      </c>
      <c r="C142" t="s">
        <v>21</v>
      </c>
      <c r="D142" t="s">
        <v>10</v>
      </c>
      <c r="E142">
        <v>3</v>
      </c>
      <c r="F142">
        <v>15.69</v>
      </c>
      <c r="G142">
        <v>3</v>
      </c>
      <c r="H142" s="5">
        <f t="shared" si="20"/>
        <v>0.19120458891013384</v>
      </c>
      <c r="J142" s="11">
        <f t="shared" si="21"/>
        <v>0</v>
      </c>
      <c r="K142">
        <f t="shared" si="22"/>
        <v>1</v>
      </c>
      <c r="L142">
        <f t="shared" si="23"/>
        <v>6</v>
      </c>
      <c r="M142">
        <f t="shared" si="24"/>
        <v>1</v>
      </c>
      <c r="N142">
        <v>2</v>
      </c>
      <c r="O142">
        <v>19.079999999999998</v>
      </c>
      <c r="P142">
        <v>1.5</v>
      </c>
      <c r="Q142" s="5">
        <f t="shared" si="25"/>
        <v>7.8616352201257872E-2</v>
      </c>
      <c r="R142" s="5">
        <f t="shared" si="26"/>
        <v>0.15984705770871196</v>
      </c>
      <c r="S142" s="10">
        <f t="shared" si="27"/>
        <v>3.1174518618744838</v>
      </c>
      <c r="T142" s="12">
        <f t="shared" si="28"/>
        <v>3.0498818610822238</v>
      </c>
      <c r="U142" s="10">
        <f t="shared" si="29"/>
        <v>3.0836668614783536</v>
      </c>
    </row>
    <row r="143" spans="1:21" x14ac:dyDescent="0.2">
      <c r="A143" t="s">
        <v>11</v>
      </c>
      <c r="B143" t="s">
        <v>8</v>
      </c>
      <c r="C143" t="s">
        <v>9</v>
      </c>
      <c r="D143" t="s">
        <v>10</v>
      </c>
      <c r="E143">
        <v>4</v>
      </c>
      <c r="F143">
        <v>18.43</v>
      </c>
      <c r="G143">
        <v>3</v>
      </c>
      <c r="H143" s="5">
        <f t="shared" si="20"/>
        <v>0.16277807921866522</v>
      </c>
      <c r="J143" s="11">
        <f t="shared" si="21"/>
        <v>0</v>
      </c>
      <c r="K143">
        <f t="shared" si="22"/>
        <v>0</v>
      </c>
      <c r="L143">
        <f t="shared" si="23"/>
        <v>7</v>
      </c>
      <c r="M143">
        <f t="shared" si="24"/>
        <v>1</v>
      </c>
      <c r="N143">
        <v>2</v>
      </c>
      <c r="O143">
        <v>19.440000000000001</v>
      </c>
      <c r="P143">
        <v>3</v>
      </c>
      <c r="Q143" s="5">
        <f t="shared" si="25"/>
        <v>0.15432098765432098</v>
      </c>
      <c r="R143" s="5">
        <f t="shared" si="26"/>
        <v>0.16182265520985073</v>
      </c>
      <c r="S143" s="10">
        <f t="shared" si="27"/>
        <v>3.3149359155857794</v>
      </c>
      <c r="T143" s="12">
        <f t="shared" si="28"/>
        <v>3.1458324172794985</v>
      </c>
      <c r="U143" s="10">
        <f t="shared" si="29"/>
        <v>3.2303841664326391</v>
      </c>
    </row>
    <row r="144" spans="1:21" x14ac:dyDescent="0.2">
      <c r="A144" t="s">
        <v>11</v>
      </c>
      <c r="B144" t="s">
        <v>22</v>
      </c>
      <c r="C144" t="s">
        <v>21</v>
      </c>
      <c r="D144" t="s">
        <v>10</v>
      </c>
      <c r="E144">
        <v>4</v>
      </c>
      <c r="F144">
        <v>38.01</v>
      </c>
      <c r="G144">
        <v>3</v>
      </c>
      <c r="H144" s="5">
        <f t="shared" si="20"/>
        <v>7.8926598263614839E-2</v>
      </c>
      <c r="J144" s="11">
        <f t="shared" si="21"/>
        <v>0</v>
      </c>
      <c r="K144">
        <f t="shared" si="22"/>
        <v>1</v>
      </c>
      <c r="L144">
        <f t="shared" si="23"/>
        <v>6</v>
      </c>
      <c r="M144">
        <f t="shared" si="24"/>
        <v>1</v>
      </c>
      <c r="N144">
        <v>2</v>
      </c>
      <c r="O144">
        <v>19.489999999999998</v>
      </c>
      <c r="P144">
        <v>3.51</v>
      </c>
      <c r="Q144" s="5">
        <f t="shared" si="25"/>
        <v>0.18009235505387378</v>
      </c>
      <c r="R144" s="5">
        <f t="shared" si="26"/>
        <v>0.15984705770871196</v>
      </c>
      <c r="S144" s="10">
        <f t="shared" si="27"/>
        <v>3.2659013640081964</v>
      </c>
      <c r="T144" s="12">
        <f t="shared" si="28"/>
        <v>3.1154191547427961</v>
      </c>
      <c r="U144" s="10">
        <f t="shared" si="29"/>
        <v>3.1906602593754965</v>
      </c>
    </row>
    <row r="145" spans="1:21" x14ac:dyDescent="0.2">
      <c r="A145" t="s">
        <v>11</v>
      </c>
      <c r="B145" t="s">
        <v>22</v>
      </c>
      <c r="C145" t="s">
        <v>21</v>
      </c>
      <c r="D145" t="s">
        <v>10</v>
      </c>
      <c r="E145">
        <v>4</v>
      </c>
      <c r="F145">
        <v>38.729999999999997</v>
      </c>
      <c r="G145">
        <v>3</v>
      </c>
      <c r="H145" s="5">
        <f t="shared" si="20"/>
        <v>7.7459333849728904E-2</v>
      </c>
      <c r="J145" s="11">
        <f t="shared" si="21"/>
        <v>0</v>
      </c>
      <c r="K145">
        <f t="shared" si="22"/>
        <v>1</v>
      </c>
      <c r="L145">
        <f t="shared" si="23"/>
        <v>6</v>
      </c>
      <c r="M145">
        <f t="shared" si="24"/>
        <v>1</v>
      </c>
      <c r="N145">
        <v>2</v>
      </c>
      <c r="O145">
        <v>19.649999999999999</v>
      </c>
      <c r="P145">
        <v>3</v>
      </c>
      <c r="Q145" s="5">
        <f t="shared" si="25"/>
        <v>0.15267175572519084</v>
      </c>
      <c r="R145" s="5">
        <f t="shared" si="26"/>
        <v>0.15984705770871196</v>
      </c>
      <c r="S145" s="10">
        <f t="shared" si="27"/>
        <v>3.2659013640081964</v>
      </c>
      <c r="T145" s="12">
        <f t="shared" si="28"/>
        <v>3.14099468397619</v>
      </c>
      <c r="U145" s="10">
        <f t="shared" si="29"/>
        <v>3.203448023992193</v>
      </c>
    </row>
    <row r="146" spans="1:21" x14ac:dyDescent="0.2">
      <c r="A146" t="s">
        <v>11</v>
      </c>
      <c r="B146" t="s">
        <v>8</v>
      </c>
      <c r="C146" t="s">
        <v>21</v>
      </c>
      <c r="D146" t="s">
        <v>10</v>
      </c>
      <c r="E146">
        <v>4</v>
      </c>
      <c r="F146">
        <v>20.45</v>
      </c>
      <c r="G146">
        <v>3</v>
      </c>
      <c r="H146" s="5">
        <f t="shared" si="20"/>
        <v>0.14669926650366749</v>
      </c>
      <c r="J146" s="11">
        <f t="shared" si="21"/>
        <v>0</v>
      </c>
      <c r="K146">
        <f t="shared" si="22"/>
        <v>0</v>
      </c>
      <c r="L146">
        <f t="shared" si="23"/>
        <v>6</v>
      </c>
      <c r="M146">
        <f t="shared" si="24"/>
        <v>1</v>
      </c>
      <c r="N146">
        <v>4</v>
      </c>
      <c r="O146">
        <v>19.77</v>
      </c>
      <c r="P146">
        <v>2</v>
      </c>
      <c r="Q146" s="5">
        <f t="shared" si="25"/>
        <v>0.10116337885685382</v>
      </c>
      <c r="R146" s="5">
        <f t="shared" si="26"/>
        <v>0.15511950414891634</v>
      </c>
      <c r="S146" s="10">
        <f t="shared" si="27"/>
        <v>3.2625302894514783</v>
      </c>
      <c r="T146" s="12">
        <f t="shared" si="28"/>
        <v>3.0667125970240758</v>
      </c>
      <c r="U146" s="10">
        <f t="shared" si="29"/>
        <v>3.1646214432377771</v>
      </c>
    </row>
    <row r="147" spans="1:21" x14ac:dyDescent="0.2">
      <c r="A147" t="s">
        <v>11</v>
      </c>
      <c r="B147" t="s">
        <v>22</v>
      </c>
      <c r="C147" t="s">
        <v>21</v>
      </c>
      <c r="D147" t="s">
        <v>10</v>
      </c>
      <c r="E147">
        <v>5</v>
      </c>
      <c r="F147">
        <v>28.15</v>
      </c>
      <c r="G147">
        <v>3</v>
      </c>
      <c r="H147" s="5">
        <f t="shared" si="20"/>
        <v>0.10657193605683837</v>
      </c>
      <c r="J147" s="11">
        <f t="shared" si="21"/>
        <v>0</v>
      </c>
      <c r="K147">
        <f t="shared" si="22"/>
        <v>1</v>
      </c>
      <c r="L147">
        <f t="shared" si="23"/>
        <v>6</v>
      </c>
      <c r="M147">
        <f t="shared" si="24"/>
        <v>1</v>
      </c>
      <c r="N147">
        <v>2</v>
      </c>
      <c r="O147">
        <v>19.809999999999999</v>
      </c>
      <c r="P147">
        <v>4.1900000000000004</v>
      </c>
      <c r="Q147" s="5">
        <f t="shared" si="25"/>
        <v>0.21150933871781932</v>
      </c>
      <c r="R147" s="5">
        <f t="shared" si="26"/>
        <v>0.15984705770871196</v>
      </c>
      <c r="S147" s="10">
        <f t="shared" si="27"/>
        <v>3.2444202829271154</v>
      </c>
      <c r="T147" s="12">
        <f t="shared" si="28"/>
        <v>3.1665702132095839</v>
      </c>
      <c r="U147" s="10">
        <f t="shared" si="29"/>
        <v>3.2054952480683498</v>
      </c>
    </row>
    <row r="148" spans="1:21" x14ac:dyDescent="0.2">
      <c r="A148" t="s">
        <v>7</v>
      </c>
      <c r="B148" t="s">
        <v>8</v>
      </c>
      <c r="C148" t="s">
        <v>9</v>
      </c>
      <c r="D148" t="s">
        <v>10</v>
      </c>
      <c r="E148">
        <v>2</v>
      </c>
      <c r="F148">
        <v>14.83</v>
      </c>
      <c r="G148">
        <v>3.02</v>
      </c>
      <c r="H148" s="5">
        <f t="shared" si="20"/>
        <v>0.20364126770060686</v>
      </c>
      <c r="J148" s="11">
        <f t="shared" si="21"/>
        <v>1</v>
      </c>
      <c r="K148">
        <f t="shared" si="22"/>
        <v>0</v>
      </c>
      <c r="L148">
        <f t="shared" si="23"/>
        <v>7</v>
      </c>
      <c r="M148">
        <f t="shared" si="24"/>
        <v>1</v>
      </c>
      <c r="N148">
        <v>2</v>
      </c>
      <c r="O148">
        <v>19.82</v>
      </c>
      <c r="P148">
        <v>3.18</v>
      </c>
      <c r="Q148" s="5">
        <f t="shared" si="25"/>
        <v>0.16044399596367306</v>
      </c>
      <c r="R148" s="5">
        <f t="shared" si="26"/>
        <v>0.16359069307477619</v>
      </c>
      <c r="S148" s="10">
        <f t="shared" si="27"/>
        <v>2.9530824612596698</v>
      </c>
      <c r="T148" s="12">
        <f t="shared" si="28"/>
        <v>3.2423675367420643</v>
      </c>
      <c r="U148" s="10">
        <f t="shared" si="29"/>
        <v>3.0977249990008673</v>
      </c>
    </row>
    <row r="149" spans="1:21" x14ac:dyDescent="0.2">
      <c r="A149" t="s">
        <v>11</v>
      </c>
      <c r="B149" t="s">
        <v>8</v>
      </c>
      <c r="C149" t="s">
        <v>9</v>
      </c>
      <c r="D149" t="s">
        <v>10</v>
      </c>
      <c r="E149">
        <v>2</v>
      </c>
      <c r="F149">
        <v>13.94</v>
      </c>
      <c r="G149">
        <v>3.06</v>
      </c>
      <c r="H149" s="5">
        <f t="shared" si="20"/>
        <v>0.21951219512195122</v>
      </c>
      <c r="J149" s="11">
        <f t="shared" si="21"/>
        <v>0</v>
      </c>
      <c r="K149">
        <f t="shared" si="22"/>
        <v>0</v>
      </c>
      <c r="L149">
        <f t="shared" si="23"/>
        <v>7</v>
      </c>
      <c r="M149">
        <f t="shared" si="24"/>
        <v>1</v>
      </c>
      <c r="N149">
        <v>3</v>
      </c>
      <c r="O149">
        <v>20.079999999999998</v>
      </c>
      <c r="P149">
        <v>3.15</v>
      </c>
      <c r="Q149" s="5">
        <f t="shared" si="25"/>
        <v>0.15687250996015936</v>
      </c>
      <c r="R149" s="5">
        <f t="shared" si="26"/>
        <v>0.15911018781030864</v>
      </c>
      <c r="S149" s="10">
        <f t="shared" si="27"/>
        <v>3.0043163729662368</v>
      </c>
      <c r="T149" s="12">
        <f t="shared" si="28"/>
        <v>3.1949325712309973</v>
      </c>
      <c r="U149" s="10">
        <f t="shared" si="29"/>
        <v>3.099624472098617</v>
      </c>
    </row>
    <row r="150" spans="1:21" x14ac:dyDescent="0.2">
      <c r="A150" t="s">
        <v>7</v>
      </c>
      <c r="B150" t="s">
        <v>8</v>
      </c>
      <c r="C150" t="s">
        <v>21</v>
      </c>
      <c r="D150" t="s">
        <v>10</v>
      </c>
      <c r="E150">
        <v>3</v>
      </c>
      <c r="F150">
        <v>16.93</v>
      </c>
      <c r="G150">
        <v>3.07</v>
      </c>
      <c r="H150" s="5">
        <f t="shared" si="20"/>
        <v>0.1813349084465446</v>
      </c>
      <c r="J150" s="11">
        <f t="shared" si="21"/>
        <v>1</v>
      </c>
      <c r="K150">
        <f t="shared" si="22"/>
        <v>0</v>
      </c>
      <c r="L150">
        <f t="shared" si="23"/>
        <v>6</v>
      </c>
      <c r="M150">
        <f t="shared" si="24"/>
        <v>1</v>
      </c>
      <c r="N150">
        <v>2</v>
      </c>
      <c r="O150">
        <v>20.23</v>
      </c>
      <c r="P150">
        <v>2.0099999999999998</v>
      </c>
      <c r="Q150" s="5">
        <f t="shared" si="25"/>
        <v>9.9357390014829447E-2</v>
      </c>
      <c r="R150" s="5">
        <f t="shared" si="26"/>
        <v>0.16084157908210489</v>
      </c>
      <c r="S150" s="10">
        <f t="shared" si="27"/>
        <v>3.0628468756111977</v>
      </c>
      <c r="T150" s="12">
        <f t="shared" si="28"/>
        <v>3.2538251448309818</v>
      </c>
      <c r="U150" s="10">
        <f t="shared" si="29"/>
        <v>3.15833601022109</v>
      </c>
    </row>
    <row r="151" spans="1:21" x14ac:dyDescent="0.2">
      <c r="A151" t="s">
        <v>11</v>
      </c>
      <c r="B151" t="s">
        <v>22</v>
      </c>
      <c r="C151" t="s">
        <v>21</v>
      </c>
      <c r="D151" t="s">
        <v>10</v>
      </c>
      <c r="E151">
        <v>2</v>
      </c>
      <c r="F151">
        <v>17.920000000000002</v>
      </c>
      <c r="G151">
        <v>3.08</v>
      </c>
      <c r="H151" s="5">
        <f t="shared" si="20"/>
        <v>0.171875</v>
      </c>
      <c r="J151" s="11">
        <f t="shared" si="21"/>
        <v>0</v>
      </c>
      <c r="K151">
        <f t="shared" si="22"/>
        <v>1</v>
      </c>
      <c r="L151">
        <f t="shared" si="23"/>
        <v>6</v>
      </c>
      <c r="M151">
        <f t="shared" si="24"/>
        <v>1</v>
      </c>
      <c r="N151">
        <v>2</v>
      </c>
      <c r="O151">
        <v>20.27</v>
      </c>
      <c r="P151">
        <v>2.83</v>
      </c>
      <c r="Q151" s="5">
        <f t="shared" si="25"/>
        <v>0.13961519486926494</v>
      </c>
      <c r="R151" s="5">
        <f t="shared" si="26"/>
        <v>0.15984705770871196</v>
      </c>
      <c r="S151" s="10">
        <f t="shared" si="27"/>
        <v>2.9552818213886538</v>
      </c>
      <c r="T151" s="12">
        <f t="shared" si="28"/>
        <v>3.2400998597555914</v>
      </c>
      <c r="U151" s="10">
        <f t="shared" si="29"/>
        <v>3.0976908405721226</v>
      </c>
    </row>
    <row r="152" spans="1:21" x14ac:dyDescent="0.2">
      <c r="A152" t="s">
        <v>7</v>
      </c>
      <c r="B152" t="s">
        <v>22</v>
      </c>
      <c r="C152" t="s">
        <v>21</v>
      </c>
      <c r="D152" t="s">
        <v>10</v>
      </c>
      <c r="E152">
        <v>4</v>
      </c>
      <c r="F152">
        <v>30.14</v>
      </c>
      <c r="G152">
        <v>3.09</v>
      </c>
      <c r="H152" s="5">
        <f t="shared" si="20"/>
        <v>0.10252156602521566</v>
      </c>
      <c r="J152" s="11">
        <f t="shared" si="21"/>
        <v>1</v>
      </c>
      <c r="K152">
        <f t="shared" si="22"/>
        <v>1</v>
      </c>
      <c r="L152">
        <f t="shared" si="23"/>
        <v>6</v>
      </c>
      <c r="M152">
        <f t="shared" si="24"/>
        <v>1</v>
      </c>
      <c r="N152">
        <v>2</v>
      </c>
      <c r="O152">
        <v>20.29</v>
      </c>
      <c r="P152">
        <v>3.21</v>
      </c>
      <c r="Q152" s="5">
        <f t="shared" si="25"/>
        <v>0.15820601281419419</v>
      </c>
      <c r="R152" s="5">
        <f t="shared" si="26"/>
        <v>0.16161509557363743</v>
      </c>
      <c r="S152" s="10">
        <f t="shared" si="27"/>
        <v>3.2146674523016285</v>
      </c>
      <c r="T152" s="12">
        <f t="shared" si="28"/>
        <v>3.2791702891891035</v>
      </c>
      <c r="U152" s="10">
        <f t="shared" si="29"/>
        <v>3.246918870745366</v>
      </c>
    </row>
    <row r="153" spans="1:21" x14ac:dyDescent="0.2">
      <c r="A153" t="s">
        <v>11</v>
      </c>
      <c r="B153" t="s">
        <v>22</v>
      </c>
      <c r="C153" t="s">
        <v>9</v>
      </c>
      <c r="D153" t="s">
        <v>10</v>
      </c>
      <c r="E153">
        <v>2</v>
      </c>
      <c r="F153">
        <v>32.9</v>
      </c>
      <c r="G153">
        <v>3.11</v>
      </c>
      <c r="H153" s="5">
        <f t="shared" si="20"/>
        <v>9.4528875379939203E-2</v>
      </c>
      <c r="J153" s="11">
        <f t="shared" si="21"/>
        <v>0</v>
      </c>
      <c r="K153">
        <f t="shared" si="22"/>
        <v>1</v>
      </c>
      <c r="L153">
        <f t="shared" si="23"/>
        <v>7</v>
      </c>
      <c r="M153">
        <f t="shared" si="24"/>
        <v>1</v>
      </c>
      <c r="N153">
        <v>2</v>
      </c>
      <c r="O153">
        <v>20.29</v>
      </c>
      <c r="P153">
        <v>2.75</v>
      </c>
      <c r="Q153" s="5">
        <f t="shared" si="25"/>
        <v>0.13553474618038444</v>
      </c>
      <c r="R153" s="5">
        <f t="shared" si="26"/>
        <v>0.16259617170138324</v>
      </c>
      <c r="S153" s="10">
        <f t="shared" si="27"/>
        <v>3.0076874475229554</v>
      </c>
      <c r="T153" s="12">
        <f t="shared" si="28"/>
        <v>3.2990763238210659</v>
      </c>
      <c r="U153" s="10">
        <f t="shared" si="29"/>
        <v>3.1533818856720108</v>
      </c>
    </row>
    <row r="154" spans="1:21" x14ac:dyDescent="0.2">
      <c r="A154" t="s">
        <v>11</v>
      </c>
      <c r="B154" t="s">
        <v>8</v>
      </c>
      <c r="C154" t="s">
        <v>9</v>
      </c>
      <c r="D154" t="s">
        <v>10</v>
      </c>
      <c r="E154">
        <v>4</v>
      </c>
      <c r="F154">
        <v>26.88</v>
      </c>
      <c r="G154">
        <v>3.12</v>
      </c>
      <c r="H154" s="5">
        <f t="shared" si="20"/>
        <v>0.11607142857142858</v>
      </c>
      <c r="J154" s="11">
        <f t="shared" si="21"/>
        <v>0</v>
      </c>
      <c r="K154">
        <f t="shared" si="22"/>
        <v>0</v>
      </c>
      <c r="L154">
        <f t="shared" si="23"/>
        <v>7</v>
      </c>
      <c r="M154">
        <f t="shared" si="24"/>
        <v>1</v>
      </c>
      <c r="N154">
        <v>4</v>
      </c>
      <c r="O154">
        <v>20.45</v>
      </c>
      <c r="P154">
        <v>3</v>
      </c>
      <c r="Q154" s="5">
        <f t="shared" si="25"/>
        <v>0.14669926650366749</v>
      </c>
      <c r="R154" s="5">
        <f t="shared" si="26"/>
        <v>0.15786861814158762</v>
      </c>
      <c r="S154" s="10">
        <f t="shared" si="27"/>
        <v>3.3149359155857794</v>
      </c>
      <c r="T154" s="12">
        <f t="shared" si="28"/>
        <v>3.2284132409954669</v>
      </c>
      <c r="U154" s="10">
        <f t="shared" si="29"/>
        <v>3.2716745782906234</v>
      </c>
    </row>
    <row r="155" spans="1:21" x14ac:dyDescent="0.2">
      <c r="A155" t="s">
        <v>7</v>
      </c>
      <c r="B155" t="s">
        <v>22</v>
      </c>
      <c r="C155" t="s">
        <v>21</v>
      </c>
      <c r="D155" t="s">
        <v>10</v>
      </c>
      <c r="E155">
        <v>2</v>
      </c>
      <c r="F155">
        <v>26.86</v>
      </c>
      <c r="G155">
        <v>3.14</v>
      </c>
      <c r="H155" s="5">
        <f t="shared" si="20"/>
        <v>0.11690245718540582</v>
      </c>
      <c r="J155" s="11">
        <f t="shared" si="21"/>
        <v>1</v>
      </c>
      <c r="K155">
        <f t="shared" si="22"/>
        <v>1</v>
      </c>
      <c r="L155">
        <f t="shared" si="23"/>
        <v>6</v>
      </c>
      <c r="M155">
        <f t="shared" si="24"/>
        <v>1</v>
      </c>
      <c r="N155">
        <v>2</v>
      </c>
      <c r="O155">
        <v>20.49</v>
      </c>
      <c r="P155">
        <v>4.0599999999999996</v>
      </c>
      <c r="Q155" s="5">
        <f t="shared" si="25"/>
        <v>0.19814543679843827</v>
      </c>
      <c r="R155" s="5">
        <f t="shared" si="26"/>
        <v>0.16161509557363743</v>
      </c>
      <c r="S155" s="10">
        <f t="shared" si="27"/>
        <v>2.9040479096820868</v>
      </c>
      <c r="T155" s="12">
        <f t="shared" si="28"/>
        <v>3.3114933083038305</v>
      </c>
      <c r="U155" s="10">
        <f t="shared" si="29"/>
        <v>3.1077706089929586</v>
      </c>
    </row>
    <row r="156" spans="1:21" x14ac:dyDescent="0.2">
      <c r="A156" t="s">
        <v>11</v>
      </c>
      <c r="B156" t="s">
        <v>8</v>
      </c>
      <c r="C156" t="s">
        <v>21</v>
      </c>
      <c r="D156" t="s">
        <v>10</v>
      </c>
      <c r="E156">
        <v>3</v>
      </c>
      <c r="F156">
        <v>20.079999999999998</v>
      </c>
      <c r="G156">
        <v>3.15</v>
      </c>
      <c r="H156" s="5">
        <f t="shared" si="20"/>
        <v>0.15687250996015936</v>
      </c>
      <c r="J156" s="11">
        <f t="shared" si="21"/>
        <v>0</v>
      </c>
      <c r="K156">
        <f t="shared" si="22"/>
        <v>0</v>
      </c>
      <c r="L156">
        <f t="shared" si="23"/>
        <v>6</v>
      </c>
      <c r="M156">
        <f t="shared" si="24"/>
        <v>1</v>
      </c>
      <c r="N156">
        <v>4</v>
      </c>
      <c r="O156">
        <v>20.53</v>
      </c>
      <c r="P156">
        <v>4</v>
      </c>
      <c r="Q156" s="5">
        <f t="shared" si="25"/>
        <v>0.19483682415976619</v>
      </c>
      <c r="R156" s="5">
        <f t="shared" si="26"/>
        <v>0.15511950414891634</v>
      </c>
      <c r="S156" s="10">
        <f t="shared" si="27"/>
        <v>3.1140807873177652</v>
      </c>
      <c r="T156" s="12">
        <f t="shared" si="28"/>
        <v>3.1846034201772526</v>
      </c>
      <c r="U156" s="10">
        <f t="shared" si="29"/>
        <v>3.1493421037475091</v>
      </c>
    </row>
    <row r="157" spans="1:21" x14ac:dyDescent="0.2">
      <c r="A157" t="s">
        <v>11</v>
      </c>
      <c r="B157" t="s">
        <v>22</v>
      </c>
      <c r="C157" t="s">
        <v>21</v>
      </c>
      <c r="D157" t="s">
        <v>10</v>
      </c>
      <c r="E157">
        <v>2</v>
      </c>
      <c r="F157">
        <v>15.81</v>
      </c>
      <c r="G157">
        <v>3.16</v>
      </c>
      <c r="H157" s="5">
        <f t="shared" si="20"/>
        <v>0.19987349778621127</v>
      </c>
      <c r="J157" s="11">
        <f t="shared" si="21"/>
        <v>0</v>
      </c>
      <c r="K157">
        <f t="shared" si="22"/>
        <v>1</v>
      </c>
      <c r="L157">
        <f t="shared" si="23"/>
        <v>6</v>
      </c>
      <c r="M157">
        <f t="shared" si="24"/>
        <v>1</v>
      </c>
      <c r="N157">
        <v>3</v>
      </c>
      <c r="O157">
        <v>20.65</v>
      </c>
      <c r="P157">
        <v>3.35</v>
      </c>
      <c r="Q157" s="5">
        <f t="shared" si="25"/>
        <v>0.16222760290556903</v>
      </c>
      <c r="R157" s="5">
        <f t="shared" si="26"/>
        <v>0.15713459030916987</v>
      </c>
      <c r="S157" s="10">
        <f t="shared" si="27"/>
        <v>2.9552818213886538</v>
      </c>
      <c r="T157" s="12">
        <f t="shared" si="28"/>
        <v>3.2448292898843576</v>
      </c>
      <c r="U157" s="10">
        <f t="shared" si="29"/>
        <v>3.1000555556365059</v>
      </c>
    </row>
    <row r="158" spans="1:21" x14ac:dyDescent="0.2">
      <c r="A158" t="s">
        <v>11</v>
      </c>
      <c r="B158" t="s">
        <v>8</v>
      </c>
      <c r="C158" t="s">
        <v>21</v>
      </c>
      <c r="D158" t="s">
        <v>10</v>
      </c>
      <c r="E158">
        <v>2</v>
      </c>
      <c r="F158">
        <v>19.82</v>
      </c>
      <c r="G158">
        <v>3.18</v>
      </c>
      <c r="H158" s="5">
        <f t="shared" si="20"/>
        <v>0.16044399596367306</v>
      </c>
      <c r="J158" s="11">
        <f t="shared" si="21"/>
        <v>0</v>
      </c>
      <c r="K158">
        <f t="shared" si="22"/>
        <v>0</v>
      </c>
      <c r="L158">
        <f t="shared" si="23"/>
        <v>6</v>
      </c>
      <c r="M158">
        <f t="shared" si="24"/>
        <v>1</v>
      </c>
      <c r="N158">
        <v>4</v>
      </c>
      <c r="O158">
        <v>20.69</v>
      </c>
      <c r="P158">
        <v>2.4500000000000002</v>
      </c>
      <c r="Q158" s="5">
        <f t="shared" si="25"/>
        <v>0.11841469308844853</v>
      </c>
      <c r="R158" s="5">
        <f t="shared" si="26"/>
        <v>0.15511950414891634</v>
      </c>
      <c r="S158" s="10">
        <f t="shared" si="27"/>
        <v>2.9519107468319357</v>
      </c>
      <c r="T158" s="12">
        <f t="shared" si="28"/>
        <v>3.2094225408410795</v>
      </c>
      <c r="U158" s="10">
        <f t="shared" si="29"/>
        <v>3.0806666438365076</v>
      </c>
    </row>
    <row r="159" spans="1:21" x14ac:dyDescent="0.2">
      <c r="A159" t="s">
        <v>11</v>
      </c>
      <c r="B159" t="s">
        <v>22</v>
      </c>
      <c r="C159" t="s">
        <v>9</v>
      </c>
      <c r="D159" t="s">
        <v>10</v>
      </c>
      <c r="E159">
        <v>2</v>
      </c>
      <c r="F159">
        <v>31.85</v>
      </c>
      <c r="G159">
        <v>3.18</v>
      </c>
      <c r="H159" s="5">
        <f t="shared" si="20"/>
        <v>9.9843014128728411E-2</v>
      </c>
      <c r="J159" s="11">
        <f t="shared" si="21"/>
        <v>0</v>
      </c>
      <c r="K159">
        <f t="shared" si="22"/>
        <v>1</v>
      </c>
      <c r="L159">
        <f t="shared" si="23"/>
        <v>7</v>
      </c>
      <c r="M159">
        <f t="shared" si="24"/>
        <v>1</v>
      </c>
      <c r="N159">
        <v>5</v>
      </c>
      <c r="O159">
        <v>20.69</v>
      </c>
      <c r="P159">
        <v>5</v>
      </c>
      <c r="Q159" s="5">
        <f t="shared" si="25"/>
        <v>0.24166263895601739</v>
      </c>
      <c r="R159" s="5">
        <f t="shared" si="26"/>
        <v>0.15775143128470154</v>
      </c>
      <c r="S159" s="10">
        <f t="shared" si="27"/>
        <v>3.0076874475229554</v>
      </c>
      <c r="T159" s="12">
        <f t="shared" si="28"/>
        <v>3.2638771132804751</v>
      </c>
      <c r="U159" s="10">
        <f t="shared" si="29"/>
        <v>3.135782280401715</v>
      </c>
    </row>
    <row r="160" spans="1:21" x14ac:dyDescent="0.2">
      <c r="A160" t="s">
        <v>11</v>
      </c>
      <c r="B160" t="s">
        <v>22</v>
      </c>
      <c r="C160" t="s">
        <v>21</v>
      </c>
      <c r="D160" t="s">
        <v>10</v>
      </c>
      <c r="E160">
        <v>2</v>
      </c>
      <c r="F160">
        <v>20.29</v>
      </c>
      <c r="G160">
        <v>3.21</v>
      </c>
      <c r="H160" s="5">
        <f t="shared" si="20"/>
        <v>0.15820601281419419</v>
      </c>
      <c r="J160" s="11">
        <f t="shared" si="21"/>
        <v>0</v>
      </c>
      <c r="K160">
        <f t="shared" si="22"/>
        <v>1</v>
      </c>
      <c r="L160">
        <f t="shared" si="23"/>
        <v>6</v>
      </c>
      <c r="M160">
        <f t="shared" si="24"/>
        <v>1</v>
      </c>
      <c r="N160">
        <v>2</v>
      </c>
      <c r="O160">
        <v>20.76</v>
      </c>
      <c r="P160">
        <v>2.2400000000000002</v>
      </c>
      <c r="Q160" s="5">
        <f t="shared" si="25"/>
        <v>0.10789980732177264</v>
      </c>
      <c r="R160" s="5">
        <f t="shared" si="26"/>
        <v>0.15984705770871196</v>
      </c>
      <c r="S160" s="10">
        <f t="shared" si="27"/>
        <v>2.9552818213886538</v>
      </c>
      <c r="T160" s="12">
        <f t="shared" si="28"/>
        <v>3.3184249180328607</v>
      </c>
      <c r="U160" s="10">
        <f t="shared" si="29"/>
        <v>3.1368533697107575</v>
      </c>
    </row>
    <row r="161" spans="1:21" x14ac:dyDescent="0.2">
      <c r="A161" t="s">
        <v>11</v>
      </c>
      <c r="B161" t="s">
        <v>8</v>
      </c>
      <c r="C161" t="s">
        <v>9</v>
      </c>
      <c r="D161" t="s">
        <v>10</v>
      </c>
      <c r="E161">
        <v>2</v>
      </c>
      <c r="F161">
        <v>14.78</v>
      </c>
      <c r="G161">
        <v>3.23</v>
      </c>
      <c r="H161" s="5">
        <f t="shared" si="20"/>
        <v>0.21853856562922869</v>
      </c>
      <c r="J161" s="11">
        <f t="shared" si="21"/>
        <v>0</v>
      </c>
      <c r="K161">
        <f t="shared" si="22"/>
        <v>0</v>
      </c>
      <c r="L161">
        <f t="shared" si="23"/>
        <v>7</v>
      </c>
      <c r="M161">
        <f t="shared" si="24"/>
        <v>1</v>
      </c>
      <c r="N161">
        <v>3</v>
      </c>
      <c r="O161">
        <v>20.9</v>
      </c>
      <c r="P161">
        <v>3.5</v>
      </c>
      <c r="Q161" s="5">
        <f t="shared" si="25"/>
        <v>0.1674641148325359</v>
      </c>
      <c r="R161" s="5">
        <f t="shared" si="26"/>
        <v>0.15911018781030864</v>
      </c>
      <c r="S161" s="10">
        <f t="shared" si="27"/>
        <v>3.0043163729662368</v>
      </c>
      <c r="T161" s="12">
        <f t="shared" si="28"/>
        <v>3.3254029252354504</v>
      </c>
      <c r="U161" s="10">
        <f t="shared" si="29"/>
        <v>3.1648596491008436</v>
      </c>
    </row>
    <row r="162" spans="1:21" x14ac:dyDescent="0.2">
      <c r="A162" t="s">
        <v>7</v>
      </c>
      <c r="B162" t="s">
        <v>22</v>
      </c>
      <c r="C162" t="s">
        <v>23</v>
      </c>
      <c r="D162" t="s">
        <v>24</v>
      </c>
      <c r="E162">
        <v>3</v>
      </c>
      <c r="F162">
        <v>16.47</v>
      </c>
      <c r="G162">
        <v>3.23</v>
      </c>
      <c r="H162" s="5">
        <f t="shared" si="20"/>
        <v>0.19611414693381907</v>
      </c>
      <c r="J162" s="11">
        <f t="shared" si="21"/>
        <v>1</v>
      </c>
      <c r="K162">
        <f t="shared" si="22"/>
        <v>1</v>
      </c>
      <c r="L162">
        <f t="shared" si="23"/>
        <v>4</v>
      </c>
      <c r="M162">
        <f t="shared" si="24"/>
        <v>0</v>
      </c>
      <c r="N162">
        <v>2</v>
      </c>
      <c r="O162">
        <v>20.92</v>
      </c>
      <c r="P162">
        <v>4.08</v>
      </c>
      <c r="Q162" s="5">
        <f t="shared" si="25"/>
        <v>0.19502868068833651</v>
      </c>
      <c r="R162" s="5">
        <f t="shared" si="26"/>
        <v>0.16416190696595673</v>
      </c>
      <c r="S162" s="10">
        <f t="shared" si="27"/>
        <v>2.9469711392431215</v>
      </c>
      <c r="T162" s="12">
        <f t="shared" si="28"/>
        <v>3.434267093727815</v>
      </c>
      <c r="U162" s="10">
        <f t="shared" si="29"/>
        <v>3.1906191164854683</v>
      </c>
    </row>
    <row r="163" spans="1:21" x14ac:dyDescent="0.2">
      <c r="A163" t="s">
        <v>7</v>
      </c>
      <c r="B163" t="s">
        <v>8</v>
      </c>
      <c r="C163" t="s">
        <v>25</v>
      </c>
      <c r="D163" t="s">
        <v>10</v>
      </c>
      <c r="E163">
        <v>2</v>
      </c>
      <c r="F163">
        <v>22.75</v>
      </c>
      <c r="G163">
        <v>3.25</v>
      </c>
      <c r="H163" s="5">
        <f t="shared" si="20"/>
        <v>0.14285714285714285</v>
      </c>
      <c r="J163" s="11">
        <f t="shared" si="21"/>
        <v>1</v>
      </c>
      <c r="K163">
        <f t="shared" si="22"/>
        <v>0</v>
      </c>
      <c r="L163">
        <f t="shared" si="23"/>
        <v>5</v>
      </c>
      <c r="M163">
        <f t="shared" si="24"/>
        <v>1</v>
      </c>
      <c r="N163">
        <v>3</v>
      </c>
      <c r="O163">
        <v>21.01</v>
      </c>
      <c r="P163">
        <v>3.5</v>
      </c>
      <c r="Q163" s="5">
        <f t="shared" si="25"/>
        <v>0.16658733936220846</v>
      </c>
      <c r="R163" s="5">
        <f t="shared" si="26"/>
        <v>0.16148137415170294</v>
      </c>
      <c r="S163" s="10">
        <f t="shared" si="27"/>
        <v>2.8490035138912484</v>
      </c>
      <c r="T163" s="12">
        <f t="shared" si="28"/>
        <v>3.3927236709272788</v>
      </c>
      <c r="U163" s="10">
        <f t="shared" si="29"/>
        <v>3.1208635924092638</v>
      </c>
    </row>
    <row r="164" spans="1:21" x14ac:dyDescent="0.2">
      <c r="A164" t="s">
        <v>7</v>
      </c>
      <c r="B164" t="s">
        <v>8</v>
      </c>
      <c r="C164" t="s">
        <v>23</v>
      </c>
      <c r="D164" t="s">
        <v>24</v>
      </c>
      <c r="E164">
        <v>2</v>
      </c>
      <c r="F164">
        <v>18.260000000000002</v>
      </c>
      <c r="G164">
        <v>3.25</v>
      </c>
      <c r="H164" s="5">
        <f t="shared" si="20"/>
        <v>0.17798466593647316</v>
      </c>
      <c r="J164" s="11">
        <f t="shared" si="21"/>
        <v>1</v>
      </c>
      <c r="K164">
        <f t="shared" si="22"/>
        <v>0</v>
      </c>
      <c r="L164">
        <f t="shared" si="23"/>
        <v>4</v>
      </c>
      <c r="M164">
        <f t="shared" si="24"/>
        <v>0</v>
      </c>
      <c r="N164">
        <v>2</v>
      </c>
      <c r="O164">
        <v>21.01</v>
      </c>
      <c r="P164">
        <v>3</v>
      </c>
      <c r="Q164" s="5">
        <f t="shared" si="25"/>
        <v>0.1427891480247501</v>
      </c>
      <c r="R164" s="5">
        <f t="shared" si="26"/>
        <v>0.16338839047442422</v>
      </c>
      <c r="S164" s="10">
        <f t="shared" si="27"/>
        <v>2.7814300242005734</v>
      </c>
      <c r="T164" s="12">
        <f t="shared" si="28"/>
        <v>3.4327900838676531</v>
      </c>
      <c r="U164" s="10">
        <f t="shared" si="29"/>
        <v>3.1071100540341132</v>
      </c>
    </row>
    <row r="165" spans="1:21" x14ac:dyDescent="0.2">
      <c r="A165" t="s">
        <v>11</v>
      </c>
      <c r="B165" t="s">
        <v>8</v>
      </c>
      <c r="C165" t="s">
        <v>21</v>
      </c>
      <c r="D165" t="s">
        <v>10</v>
      </c>
      <c r="E165">
        <v>2</v>
      </c>
      <c r="F165">
        <v>17.78</v>
      </c>
      <c r="G165">
        <v>3.27</v>
      </c>
      <c r="H165" s="5">
        <f t="shared" si="20"/>
        <v>0.18391451068616421</v>
      </c>
      <c r="J165" s="11">
        <f t="shared" si="21"/>
        <v>0</v>
      </c>
      <c r="K165">
        <f t="shared" si="22"/>
        <v>0</v>
      </c>
      <c r="L165">
        <f t="shared" si="23"/>
        <v>6</v>
      </c>
      <c r="M165">
        <f t="shared" si="24"/>
        <v>1</v>
      </c>
      <c r="N165">
        <v>2</v>
      </c>
      <c r="O165">
        <v>21.16</v>
      </c>
      <c r="P165">
        <v>3</v>
      </c>
      <c r="Q165" s="5">
        <f t="shared" si="25"/>
        <v>0.14177693761814744</v>
      </c>
      <c r="R165" s="5">
        <f t="shared" si="26"/>
        <v>0.15907354121717945</v>
      </c>
      <c r="S165" s="10">
        <f t="shared" si="27"/>
        <v>2.9519107468319357</v>
      </c>
      <c r="T165" s="12">
        <f t="shared" si="28"/>
        <v>3.3659961321555172</v>
      </c>
      <c r="U165" s="10">
        <f t="shared" si="29"/>
        <v>3.1589534394937262</v>
      </c>
    </row>
    <row r="166" spans="1:21" x14ac:dyDescent="0.2">
      <c r="A166" t="s">
        <v>11</v>
      </c>
      <c r="B166" t="s">
        <v>8</v>
      </c>
      <c r="C166" t="s">
        <v>9</v>
      </c>
      <c r="D166" t="s">
        <v>10</v>
      </c>
      <c r="E166">
        <v>2</v>
      </c>
      <c r="F166">
        <v>23.68</v>
      </c>
      <c r="G166">
        <v>3.31</v>
      </c>
      <c r="H166" s="5">
        <f t="shared" si="20"/>
        <v>0.1397804054054054</v>
      </c>
      <c r="J166" s="11">
        <f t="shared" si="21"/>
        <v>0</v>
      </c>
      <c r="K166">
        <f t="shared" si="22"/>
        <v>0</v>
      </c>
      <c r="L166">
        <f t="shared" si="23"/>
        <v>7</v>
      </c>
      <c r="M166">
        <f t="shared" si="24"/>
        <v>1</v>
      </c>
      <c r="N166">
        <v>4</v>
      </c>
      <c r="O166">
        <v>21.5</v>
      </c>
      <c r="P166">
        <v>3.5</v>
      </c>
      <c r="Q166" s="5">
        <f t="shared" si="25"/>
        <v>0.16279069767441862</v>
      </c>
      <c r="R166" s="5">
        <f t="shared" si="26"/>
        <v>0.15786861814158762</v>
      </c>
      <c r="S166" s="10">
        <f t="shared" si="27"/>
        <v>3.0043163729662368</v>
      </c>
      <c r="T166" s="12">
        <f t="shared" si="28"/>
        <v>3.3941752900441338</v>
      </c>
      <c r="U166" s="10">
        <f t="shared" si="29"/>
        <v>3.199245831505185</v>
      </c>
    </row>
    <row r="167" spans="1:21" x14ac:dyDescent="0.2">
      <c r="A167" t="s">
        <v>11</v>
      </c>
      <c r="B167" t="s">
        <v>8</v>
      </c>
      <c r="C167" t="s">
        <v>21</v>
      </c>
      <c r="D167" t="s">
        <v>10</v>
      </c>
      <c r="E167">
        <v>3</v>
      </c>
      <c r="F167">
        <v>20.65</v>
      </c>
      <c r="G167">
        <v>3.35</v>
      </c>
      <c r="H167" s="5">
        <f t="shared" si="20"/>
        <v>0.16222760290556903</v>
      </c>
      <c r="J167" s="11">
        <f t="shared" si="21"/>
        <v>0</v>
      </c>
      <c r="K167">
        <f t="shared" si="22"/>
        <v>0</v>
      </c>
      <c r="L167">
        <f t="shared" si="23"/>
        <v>6</v>
      </c>
      <c r="M167">
        <f t="shared" si="24"/>
        <v>1</v>
      </c>
      <c r="N167">
        <v>2</v>
      </c>
      <c r="O167">
        <v>21.58</v>
      </c>
      <c r="P167">
        <v>3.92</v>
      </c>
      <c r="Q167" s="5">
        <f t="shared" si="25"/>
        <v>0.18164967562557924</v>
      </c>
      <c r="R167" s="5">
        <f t="shared" si="26"/>
        <v>0.15907354121717945</v>
      </c>
      <c r="S167" s="10">
        <f t="shared" si="27"/>
        <v>3.1140807873177652</v>
      </c>
      <c r="T167" s="12">
        <f t="shared" si="28"/>
        <v>3.4328070194667322</v>
      </c>
      <c r="U167" s="10">
        <f t="shared" si="29"/>
        <v>3.2734439033922484</v>
      </c>
    </row>
    <row r="168" spans="1:21" x14ac:dyDescent="0.2">
      <c r="A168" t="s">
        <v>11</v>
      </c>
      <c r="B168" t="s">
        <v>8</v>
      </c>
      <c r="C168" t="s">
        <v>21</v>
      </c>
      <c r="D168" t="s">
        <v>10</v>
      </c>
      <c r="E168">
        <v>2</v>
      </c>
      <c r="F168">
        <v>11.61</v>
      </c>
      <c r="G168">
        <v>3.39</v>
      </c>
      <c r="H168" s="5">
        <f t="shared" si="20"/>
        <v>0.29198966408268734</v>
      </c>
      <c r="J168" s="11">
        <f t="shared" si="21"/>
        <v>0</v>
      </c>
      <c r="K168">
        <f t="shared" si="22"/>
        <v>0</v>
      </c>
      <c r="L168">
        <f t="shared" si="23"/>
        <v>6</v>
      </c>
      <c r="M168">
        <f t="shared" si="24"/>
        <v>1</v>
      </c>
      <c r="N168">
        <v>2</v>
      </c>
      <c r="O168">
        <v>21.7</v>
      </c>
      <c r="P168">
        <v>4.3</v>
      </c>
      <c r="Q168" s="5">
        <f t="shared" si="25"/>
        <v>0.19815668202764977</v>
      </c>
      <c r="R168" s="5">
        <f t="shared" si="26"/>
        <v>0.15907354121717945</v>
      </c>
      <c r="S168" s="10">
        <f t="shared" si="27"/>
        <v>2.9519107468319357</v>
      </c>
      <c r="T168" s="12">
        <f t="shared" si="28"/>
        <v>3.4518958444127938</v>
      </c>
      <c r="U168" s="10">
        <f t="shared" si="29"/>
        <v>3.2019032956223645</v>
      </c>
    </row>
    <row r="169" spans="1:21" x14ac:dyDescent="0.2">
      <c r="A169" t="s">
        <v>11</v>
      </c>
      <c r="B169" t="s">
        <v>8</v>
      </c>
      <c r="C169" t="s">
        <v>23</v>
      </c>
      <c r="D169" t="s">
        <v>24</v>
      </c>
      <c r="E169">
        <v>2</v>
      </c>
      <c r="F169">
        <v>16.66</v>
      </c>
      <c r="G169">
        <v>3.4</v>
      </c>
      <c r="H169" s="5">
        <f t="shared" si="20"/>
        <v>0.20408163265306123</v>
      </c>
      <c r="J169" s="11">
        <f t="shared" si="21"/>
        <v>0</v>
      </c>
      <c r="K169">
        <f t="shared" si="22"/>
        <v>0</v>
      </c>
      <c r="L169">
        <f t="shared" si="23"/>
        <v>4</v>
      </c>
      <c r="M169">
        <f t="shared" si="24"/>
        <v>0</v>
      </c>
      <c r="N169">
        <v>2</v>
      </c>
      <c r="O169">
        <v>22.12</v>
      </c>
      <c r="P169">
        <v>2.88</v>
      </c>
      <c r="Q169" s="5">
        <f t="shared" si="25"/>
        <v>0.13019891500904157</v>
      </c>
      <c r="R169" s="5">
        <f t="shared" si="26"/>
        <v>0.16162035260949875</v>
      </c>
      <c r="S169" s="10">
        <f t="shared" si="27"/>
        <v>2.8326639359071408</v>
      </c>
      <c r="T169" s="12">
        <f t="shared" si="28"/>
        <v>3.5750421997221125</v>
      </c>
      <c r="U169" s="10">
        <f t="shared" si="29"/>
        <v>3.2038530678146264</v>
      </c>
    </row>
    <row r="170" spans="1:21" x14ac:dyDescent="0.2">
      <c r="A170" t="s">
        <v>11</v>
      </c>
      <c r="B170" t="s">
        <v>22</v>
      </c>
      <c r="C170" t="s">
        <v>21</v>
      </c>
      <c r="D170" t="s">
        <v>10</v>
      </c>
      <c r="E170">
        <v>3</v>
      </c>
      <c r="F170">
        <v>26.59</v>
      </c>
      <c r="G170">
        <v>3.41</v>
      </c>
      <c r="H170" s="5">
        <f t="shared" si="20"/>
        <v>0.1282437006393381</v>
      </c>
      <c r="J170" s="11">
        <f t="shared" si="21"/>
        <v>0</v>
      </c>
      <c r="K170">
        <f t="shared" si="22"/>
        <v>1</v>
      </c>
      <c r="L170">
        <f t="shared" si="23"/>
        <v>6</v>
      </c>
      <c r="M170">
        <f t="shared" si="24"/>
        <v>1</v>
      </c>
      <c r="N170">
        <v>2</v>
      </c>
      <c r="O170">
        <v>22.23</v>
      </c>
      <c r="P170">
        <v>5</v>
      </c>
      <c r="Q170" s="5">
        <f t="shared" si="25"/>
        <v>0.22492127755285649</v>
      </c>
      <c r="R170" s="5">
        <f t="shared" si="26"/>
        <v>0.15984705770871196</v>
      </c>
      <c r="S170" s="10">
        <f t="shared" si="27"/>
        <v>3.1174518618744838</v>
      </c>
      <c r="T170" s="12">
        <f t="shared" si="28"/>
        <v>3.553400092864667</v>
      </c>
      <c r="U170" s="10">
        <f t="shared" si="29"/>
        <v>3.3354259773695754</v>
      </c>
    </row>
    <row r="171" spans="1:21" x14ac:dyDescent="0.2">
      <c r="A171" t="s">
        <v>7</v>
      </c>
      <c r="B171" t="s">
        <v>22</v>
      </c>
      <c r="C171" t="s">
        <v>21</v>
      </c>
      <c r="D171" t="s">
        <v>10</v>
      </c>
      <c r="E171">
        <v>2</v>
      </c>
      <c r="F171">
        <v>22.42</v>
      </c>
      <c r="G171">
        <v>3.48</v>
      </c>
      <c r="H171" s="5">
        <f t="shared" si="20"/>
        <v>0.15521855486173058</v>
      </c>
      <c r="J171" s="11">
        <f t="shared" si="21"/>
        <v>1</v>
      </c>
      <c r="K171">
        <f t="shared" si="22"/>
        <v>1</v>
      </c>
      <c r="L171">
        <f t="shared" si="23"/>
        <v>6</v>
      </c>
      <c r="M171">
        <f t="shared" si="24"/>
        <v>1</v>
      </c>
      <c r="N171">
        <v>2</v>
      </c>
      <c r="O171">
        <v>22.42</v>
      </c>
      <c r="P171">
        <v>3.48</v>
      </c>
      <c r="Q171" s="5">
        <f t="shared" si="25"/>
        <v>0.15521855486173058</v>
      </c>
      <c r="R171" s="5">
        <f t="shared" si="26"/>
        <v>0.16161509557363743</v>
      </c>
      <c r="S171" s="10">
        <f t="shared" si="27"/>
        <v>2.9040479096820868</v>
      </c>
      <c r="T171" s="12">
        <f t="shared" si="28"/>
        <v>3.6234104427609513</v>
      </c>
      <c r="U171" s="10">
        <f t="shared" si="29"/>
        <v>3.2637291762215188</v>
      </c>
    </row>
    <row r="172" spans="1:21" x14ac:dyDescent="0.2">
      <c r="A172" t="s">
        <v>7</v>
      </c>
      <c r="B172" t="s">
        <v>22</v>
      </c>
      <c r="C172" t="s">
        <v>25</v>
      </c>
      <c r="D172" t="s">
        <v>24</v>
      </c>
      <c r="E172">
        <v>2</v>
      </c>
      <c r="F172">
        <v>13.42</v>
      </c>
      <c r="G172">
        <v>3.48</v>
      </c>
      <c r="H172" s="5">
        <f t="shared" si="20"/>
        <v>0.25931445603576753</v>
      </c>
      <c r="J172" s="11">
        <f t="shared" si="21"/>
        <v>1</v>
      </c>
      <c r="K172">
        <f t="shared" si="22"/>
        <v>1</v>
      </c>
      <c r="L172">
        <f t="shared" si="23"/>
        <v>5</v>
      </c>
      <c r="M172">
        <f t="shared" si="24"/>
        <v>0</v>
      </c>
      <c r="N172">
        <v>2</v>
      </c>
      <c r="O172">
        <v>22.49</v>
      </c>
      <c r="P172">
        <v>3.5</v>
      </c>
      <c r="Q172" s="5">
        <f t="shared" si="25"/>
        <v>0.15562472209871056</v>
      </c>
      <c r="R172" s="5">
        <f t="shared" si="26"/>
        <v>0.16588938591932306</v>
      </c>
      <c r="S172" s="10">
        <f t="shared" si="27"/>
        <v>2.7774581445976994</v>
      </c>
      <c r="T172" s="12">
        <f t="shared" si="28"/>
        <v>3.7308522893255756</v>
      </c>
      <c r="U172" s="10">
        <f t="shared" si="29"/>
        <v>3.2541552169616375</v>
      </c>
    </row>
    <row r="173" spans="1:21" x14ac:dyDescent="0.2">
      <c r="A173" t="s">
        <v>11</v>
      </c>
      <c r="B173" t="s">
        <v>8</v>
      </c>
      <c r="C173" t="s">
        <v>9</v>
      </c>
      <c r="D173" t="s">
        <v>10</v>
      </c>
      <c r="E173">
        <v>3</v>
      </c>
      <c r="F173">
        <v>24.52</v>
      </c>
      <c r="G173">
        <v>3.48</v>
      </c>
      <c r="H173" s="5">
        <f t="shared" si="20"/>
        <v>0.14192495921696574</v>
      </c>
      <c r="J173" s="11">
        <f t="shared" si="21"/>
        <v>0</v>
      </c>
      <c r="K173">
        <f t="shared" si="22"/>
        <v>0</v>
      </c>
      <c r="L173">
        <f t="shared" si="23"/>
        <v>7</v>
      </c>
      <c r="M173">
        <f t="shared" si="24"/>
        <v>1</v>
      </c>
      <c r="N173">
        <v>2</v>
      </c>
      <c r="O173">
        <v>22.67</v>
      </c>
      <c r="P173">
        <v>2</v>
      </c>
      <c r="Q173" s="5">
        <f t="shared" si="25"/>
        <v>8.8222320247022493E-2</v>
      </c>
      <c r="R173" s="5">
        <f t="shared" si="26"/>
        <v>0.16182265520985073</v>
      </c>
      <c r="S173" s="10">
        <f t="shared" si="27"/>
        <v>3.1664864134520667</v>
      </c>
      <c r="T173" s="12">
        <f t="shared" si="28"/>
        <v>3.6685195936073165</v>
      </c>
      <c r="U173" s="10">
        <f t="shared" si="29"/>
        <v>3.4175030035296916</v>
      </c>
    </row>
    <row r="174" spans="1:21" x14ac:dyDescent="0.2">
      <c r="A174" t="s">
        <v>11</v>
      </c>
      <c r="B174" t="s">
        <v>8</v>
      </c>
      <c r="C174" t="s">
        <v>25</v>
      </c>
      <c r="D174" t="s">
        <v>10</v>
      </c>
      <c r="E174">
        <v>2</v>
      </c>
      <c r="F174">
        <v>22.49</v>
      </c>
      <c r="G174">
        <v>3.5</v>
      </c>
      <c r="H174" s="5">
        <f t="shared" si="20"/>
        <v>0.15562472209871056</v>
      </c>
      <c r="J174" s="11">
        <f t="shared" si="21"/>
        <v>0</v>
      </c>
      <c r="K174">
        <f t="shared" si="22"/>
        <v>0</v>
      </c>
      <c r="L174">
        <f t="shared" si="23"/>
        <v>5</v>
      </c>
      <c r="M174">
        <f t="shared" si="24"/>
        <v>1</v>
      </c>
      <c r="N174">
        <v>2</v>
      </c>
      <c r="O174">
        <v>22.75</v>
      </c>
      <c r="P174">
        <v>3.25</v>
      </c>
      <c r="Q174" s="5">
        <f t="shared" si="25"/>
        <v>0.14285714285714285</v>
      </c>
      <c r="R174" s="5">
        <f t="shared" si="26"/>
        <v>0.16242580368631959</v>
      </c>
      <c r="S174" s="10">
        <f t="shared" si="27"/>
        <v>2.9002374255978154</v>
      </c>
      <c r="T174" s="12">
        <f t="shared" si="28"/>
        <v>3.6951870338637707</v>
      </c>
      <c r="U174" s="10">
        <f t="shared" si="29"/>
        <v>3.2977122297307933</v>
      </c>
    </row>
    <row r="175" spans="1:21" x14ac:dyDescent="0.2">
      <c r="A175" t="s">
        <v>7</v>
      </c>
      <c r="B175" t="s">
        <v>8</v>
      </c>
      <c r="C175" t="s">
        <v>9</v>
      </c>
      <c r="D175" t="s">
        <v>10</v>
      </c>
      <c r="E175">
        <v>2</v>
      </c>
      <c r="F175">
        <v>17.309999999999999</v>
      </c>
      <c r="G175">
        <v>3.5</v>
      </c>
      <c r="H175" s="5">
        <f t="shared" si="20"/>
        <v>0.20219526285384173</v>
      </c>
      <c r="J175" s="11">
        <f t="shared" si="21"/>
        <v>1</v>
      </c>
      <c r="K175">
        <f t="shared" si="22"/>
        <v>0</v>
      </c>
      <c r="L175">
        <f t="shared" si="23"/>
        <v>7</v>
      </c>
      <c r="M175">
        <f t="shared" si="24"/>
        <v>1</v>
      </c>
      <c r="N175">
        <v>2</v>
      </c>
      <c r="O175">
        <v>22.76</v>
      </c>
      <c r="P175">
        <v>3</v>
      </c>
      <c r="Q175" s="5">
        <f t="shared" si="25"/>
        <v>0.13181019332161686</v>
      </c>
      <c r="R175" s="5">
        <f t="shared" si="26"/>
        <v>0.16359069307477619</v>
      </c>
      <c r="S175" s="10">
        <f t="shared" si="27"/>
        <v>2.9530824612596698</v>
      </c>
      <c r="T175" s="12">
        <f t="shared" si="28"/>
        <v>3.7233241743819065</v>
      </c>
      <c r="U175" s="10">
        <f t="shared" si="29"/>
        <v>3.3382033178207884</v>
      </c>
    </row>
    <row r="176" spans="1:21" x14ac:dyDescent="0.2">
      <c r="A176" t="s">
        <v>7</v>
      </c>
      <c r="B176" t="s">
        <v>8</v>
      </c>
      <c r="C176" t="s">
        <v>23</v>
      </c>
      <c r="D176" t="s">
        <v>24</v>
      </c>
      <c r="E176">
        <v>2</v>
      </c>
      <c r="F176">
        <v>17.47</v>
      </c>
      <c r="G176">
        <v>3.5</v>
      </c>
      <c r="H176" s="5">
        <f t="shared" si="20"/>
        <v>0.20034344590726963</v>
      </c>
      <c r="J176" s="11">
        <f t="shared" si="21"/>
        <v>1</v>
      </c>
      <c r="K176">
        <f t="shared" si="22"/>
        <v>0</v>
      </c>
      <c r="L176">
        <f t="shared" si="23"/>
        <v>4</v>
      </c>
      <c r="M176">
        <f t="shared" si="24"/>
        <v>0</v>
      </c>
      <c r="N176">
        <v>3</v>
      </c>
      <c r="O176">
        <v>22.82</v>
      </c>
      <c r="P176">
        <v>2.1800000000000002</v>
      </c>
      <c r="Q176" s="5">
        <f t="shared" si="25"/>
        <v>9.5530236634531113E-2</v>
      </c>
      <c r="R176" s="5">
        <f t="shared" si="26"/>
        <v>0.16067592307488207</v>
      </c>
      <c r="S176" s="10">
        <f t="shared" si="27"/>
        <v>2.7814300242005734</v>
      </c>
      <c r="T176" s="12">
        <f t="shared" si="28"/>
        <v>3.6666245645688087</v>
      </c>
      <c r="U176" s="10">
        <f t="shared" si="29"/>
        <v>3.2240272943846913</v>
      </c>
    </row>
    <row r="177" spans="1:21" x14ac:dyDescent="0.2">
      <c r="A177" t="s">
        <v>11</v>
      </c>
      <c r="B177" t="s">
        <v>8</v>
      </c>
      <c r="C177" t="s">
        <v>9</v>
      </c>
      <c r="D177" t="s">
        <v>10</v>
      </c>
      <c r="E177">
        <v>3</v>
      </c>
      <c r="F177">
        <v>21.01</v>
      </c>
      <c r="G177">
        <v>3.5</v>
      </c>
      <c r="H177" s="5">
        <f t="shared" si="20"/>
        <v>0.16658733936220846</v>
      </c>
      <c r="J177" s="11">
        <f t="shared" si="21"/>
        <v>0</v>
      </c>
      <c r="K177">
        <f t="shared" si="22"/>
        <v>0</v>
      </c>
      <c r="L177">
        <f t="shared" si="23"/>
        <v>7</v>
      </c>
      <c r="M177">
        <f t="shared" si="24"/>
        <v>1</v>
      </c>
      <c r="N177">
        <v>3</v>
      </c>
      <c r="O177">
        <v>23.1</v>
      </c>
      <c r="P177">
        <v>4</v>
      </c>
      <c r="Q177" s="5">
        <f t="shared" si="25"/>
        <v>0.17316017316017315</v>
      </c>
      <c r="R177" s="5">
        <f t="shared" si="26"/>
        <v>0.15911018781030864</v>
      </c>
      <c r="S177" s="10">
        <f t="shared" si="27"/>
        <v>3.1664864134520667</v>
      </c>
      <c r="T177" s="12">
        <f t="shared" si="28"/>
        <v>3.6754453384181298</v>
      </c>
      <c r="U177" s="10">
        <f t="shared" si="29"/>
        <v>3.4209658759350985</v>
      </c>
    </row>
    <row r="178" spans="1:21" x14ac:dyDescent="0.2">
      <c r="A178" t="s">
        <v>7</v>
      </c>
      <c r="B178" t="s">
        <v>8</v>
      </c>
      <c r="C178" t="s">
        <v>9</v>
      </c>
      <c r="D178" t="s">
        <v>10</v>
      </c>
      <c r="E178">
        <v>3</v>
      </c>
      <c r="F178">
        <v>16.97</v>
      </c>
      <c r="G178">
        <v>3.5</v>
      </c>
      <c r="H178" s="5">
        <f t="shared" si="20"/>
        <v>0.20624631703005306</v>
      </c>
      <c r="J178" s="11">
        <f t="shared" si="21"/>
        <v>1</v>
      </c>
      <c r="K178">
        <f t="shared" si="22"/>
        <v>0</v>
      </c>
      <c r="L178">
        <f t="shared" si="23"/>
        <v>7</v>
      </c>
      <c r="M178">
        <f t="shared" si="24"/>
        <v>1</v>
      </c>
      <c r="N178">
        <v>4</v>
      </c>
      <c r="O178">
        <v>23.17</v>
      </c>
      <c r="P178">
        <v>6.5</v>
      </c>
      <c r="Q178" s="5">
        <f t="shared" si="25"/>
        <v>0.28053517479499351</v>
      </c>
      <c r="R178" s="5">
        <f t="shared" si="26"/>
        <v>0.15963665600651306</v>
      </c>
      <c r="S178" s="10">
        <f t="shared" si="27"/>
        <v>3.1152525017454993</v>
      </c>
      <c r="T178" s="12">
        <f t="shared" si="28"/>
        <v>3.6987813196709078</v>
      </c>
      <c r="U178" s="10">
        <f t="shared" si="29"/>
        <v>3.4070169107082036</v>
      </c>
    </row>
    <row r="179" spans="1:21" x14ac:dyDescent="0.2">
      <c r="A179" t="s">
        <v>11</v>
      </c>
      <c r="B179" t="s">
        <v>22</v>
      </c>
      <c r="C179" t="s">
        <v>9</v>
      </c>
      <c r="D179" t="s">
        <v>10</v>
      </c>
      <c r="E179">
        <v>3</v>
      </c>
      <c r="F179">
        <v>45.35</v>
      </c>
      <c r="G179">
        <v>3.5</v>
      </c>
      <c r="H179" s="5">
        <f t="shared" si="20"/>
        <v>7.7177508269018744E-2</v>
      </c>
      <c r="J179" s="11">
        <f t="shared" si="21"/>
        <v>0</v>
      </c>
      <c r="K179">
        <f t="shared" si="22"/>
        <v>1</v>
      </c>
      <c r="L179">
        <f t="shared" si="23"/>
        <v>7</v>
      </c>
      <c r="M179">
        <f t="shared" si="24"/>
        <v>1</v>
      </c>
      <c r="N179">
        <v>2</v>
      </c>
      <c r="O179">
        <v>23.33</v>
      </c>
      <c r="P179">
        <v>5.65</v>
      </c>
      <c r="Q179" s="5">
        <f t="shared" si="25"/>
        <v>0.24217745392198889</v>
      </c>
      <c r="R179" s="5">
        <f t="shared" si="26"/>
        <v>0.16259617170138324</v>
      </c>
      <c r="S179" s="10">
        <f t="shared" si="27"/>
        <v>3.1698574880087849</v>
      </c>
      <c r="T179" s="12">
        <f t="shared" si="28"/>
        <v>3.7933686857932707</v>
      </c>
      <c r="U179" s="10">
        <f t="shared" si="29"/>
        <v>3.481613086901028</v>
      </c>
    </row>
    <row r="180" spans="1:21" x14ac:dyDescent="0.2">
      <c r="A180" t="s">
        <v>7</v>
      </c>
      <c r="B180" t="s">
        <v>22</v>
      </c>
      <c r="C180" t="s">
        <v>9</v>
      </c>
      <c r="D180" t="s">
        <v>10</v>
      </c>
      <c r="E180">
        <v>3</v>
      </c>
      <c r="F180">
        <v>20.9</v>
      </c>
      <c r="G180">
        <v>3.5</v>
      </c>
      <c r="H180" s="5">
        <f t="shared" si="20"/>
        <v>0.1674641148325359</v>
      </c>
      <c r="J180" s="11">
        <f t="shared" si="21"/>
        <v>1</v>
      </c>
      <c r="K180">
        <f t="shared" si="22"/>
        <v>1</v>
      </c>
      <c r="L180">
        <f t="shared" si="23"/>
        <v>7</v>
      </c>
      <c r="M180">
        <f t="shared" si="24"/>
        <v>1</v>
      </c>
      <c r="N180">
        <v>2</v>
      </c>
      <c r="O180">
        <v>23.68</v>
      </c>
      <c r="P180">
        <v>3.31</v>
      </c>
      <c r="Q180" s="5">
        <f t="shared" si="25"/>
        <v>0.1397804054054054</v>
      </c>
      <c r="R180" s="5">
        <f t="shared" si="26"/>
        <v>0.16436420956630871</v>
      </c>
      <c r="S180" s="10">
        <f t="shared" si="27"/>
        <v>3.1186235763022179</v>
      </c>
      <c r="T180" s="12">
        <f t="shared" si="28"/>
        <v>3.8921444825301901</v>
      </c>
      <c r="U180" s="10">
        <f t="shared" si="29"/>
        <v>3.505384029416204</v>
      </c>
    </row>
    <row r="181" spans="1:21" x14ac:dyDescent="0.2">
      <c r="A181" t="s">
        <v>7</v>
      </c>
      <c r="B181" t="s">
        <v>22</v>
      </c>
      <c r="C181" t="s">
        <v>9</v>
      </c>
      <c r="D181" t="s">
        <v>10</v>
      </c>
      <c r="E181">
        <v>3</v>
      </c>
      <c r="F181">
        <v>18.149999999999999</v>
      </c>
      <c r="G181">
        <v>3.5</v>
      </c>
      <c r="H181" s="5">
        <f t="shared" si="20"/>
        <v>0.1928374655647383</v>
      </c>
      <c r="J181" s="11">
        <f t="shared" si="21"/>
        <v>1</v>
      </c>
      <c r="K181">
        <f t="shared" si="22"/>
        <v>1</v>
      </c>
      <c r="L181">
        <f t="shared" si="23"/>
        <v>7</v>
      </c>
      <c r="M181">
        <f t="shared" si="24"/>
        <v>1</v>
      </c>
      <c r="N181">
        <v>2</v>
      </c>
      <c r="O181">
        <v>23.95</v>
      </c>
      <c r="P181">
        <v>2.5499999999999998</v>
      </c>
      <c r="Q181" s="5">
        <f t="shared" si="25"/>
        <v>0.10647181628392484</v>
      </c>
      <c r="R181" s="5">
        <f t="shared" si="26"/>
        <v>0.16436420956630871</v>
      </c>
      <c r="S181" s="10">
        <f t="shared" si="27"/>
        <v>3.1186235763022179</v>
      </c>
      <c r="T181" s="12">
        <f t="shared" si="28"/>
        <v>3.9365228191130934</v>
      </c>
      <c r="U181" s="10">
        <f t="shared" si="29"/>
        <v>3.5275731977076559</v>
      </c>
    </row>
    <row r="182" spans="1:21" x14ac:dyDescent="0.2">
      <c r="A182" t="s">
        <v>11</v>
      </c>
      <c r="B182" t="s">
        <v>8</v>
      </c>
      <c r="C182" t="s">
        <v>9</v>
      </c>
      <c r="D182" t="s">
        <v>10</v>
      </c>
      <c r="E182">
        <v>4</v>
      </c>
      <c r="F182">
        <v>21.5</v>
      </c>
      <c r="G182">
        <v>3.5</v>
      </c>
      <c r="H182" s="5">
        <f t="shared" si="20"/>
        <v>0.16279069767441862</v>
      </c>
      <c r="J182" s="11">
        <f t="shared" si="21"/>
        <v>0</v>
      </c>
      <c r="K182">
        <f t="shared" si="22"/>
        <v>0</v>
      </c>
      <c r="L182">
        <f t="shared" si="23"/>
        <v>7</v>
      </c>
      <c r="M182">
        <f t="shared" si="24"/>
        <v>1</v>
      </c>
      <c r="N182">
        <v>4</v>
      </c>
      <c r="O182">
        <v>24.01</v>
      </c>
      <c r="P182">
        <v>2</v>
      </c>
      <c r="Q182" s="5">
        <f t="shared" si="25"/>
        <v>8.3298625572678045E-2</v>
      </c>
      <c r="R182" s="5">
        <f t="shared" si="26"/>
        <v>0.15786861814158762</v>
      </c>
      <c r="S182" s="10">
        <f t="shared" si="27"/>
        <v>3.3149359155857794</v>
      </c>
      <c r="T182" s="12">
        <f t="shared" si="28"/>
        <v>3.7904255215795191</v>
      </c>
      <c r="U182" s="10">
        <f t="shared" si="29"/>
        <v>3.552680718582649</v>
      </c>
    </row>
    <row r="183" spans="1:21" x14ac:dyDescent="0.2">
      <c r="A183" t="s">
        <v>11</v>
      </c>
      <c r="B183" t="s">
        <v>8</v>
      </c>
      <c r="C183" t="s">
        <v>9</v>
      </c>
      <c r="D183" t="s">
        <v>10</v>
      </c>
      <c r="E183">
        <v>2</v>
      </c>
      <c r="F183">
        <v>19.489999999999998</v>
      </c>
      <c r="G183">
        <v>3.51</v>
      </c>
      <c r="H183" s="5">
        <f t="shared" si="20"/>
        <v>0.18009235505387378</v>
      </c>
      <c r="J183" s="11">
        <f t="shared" si="21"/>
        <v>0</v>
      </c>
      <c r="K183">
        <f t="shared" si="22"/>
        <v>0</v>
      </c>
      <c r="L183">
        <f t="shared" si="23"/>
        <v>7</v>
      </c>
      <c r="M183">
        <f t="shared" si="24"/>
        <v>1</v>
      </c>
      <c r="N183">
        <v>3</v>
      </c>
      <c r="O183">
        <v>24.06</v>
      </c>
      <c r="P183">
        <v>3.6</v>
      </c>
      <c r="Q183" s="5">
        <f t="shared" si="25"/>
        <v>0.14962593516209477</v>
      </c>
      <c r="R183" s="5">
        <f t="shared" si="26"/>
        <v>0.15911018781030864</v>
      </c>
      <c r="S183" s="10">
        <f t="shared" si="27"/>
        <v>3.0043163729662368</v>
      </c>
      <c r="T183" s="12">
        <f t="shared" si="28"/>
        <v>3.8281911187160258</v>
      </c>
      <c r="U183" s="10">
        <f t="shared" si="29"/>
        <v>3.4162537458411313</v>
      </c>
    </row>
    <row r="184" spans="1:21" x14ac:dyDescent="0.2">
      <c r="A184" t="s">
        <v>11</v>
      </c>
      <c r="B184" t="s">
        <v>22</v>
      </c>
      <c r="C184" t="s">
        <v>9</v>
      </c>
      <c r="D184" t="s">
        <v>10</v>
      </c>
      <c r="E184">
        <v>2</v>
      </c>
      <c r="F184">
        <v>34.630000000000003</v>
      </c>
      <c r="G184">
        <v>3.55</v>
      </c>
      <c r="H184" s="5">
        <f t="shared" si="20"/>
        <v>0.102512272596015</v>
      </c>
      <c r="J184" s="11">
        <f t="shared" si="21"/>
        <v>0</v>
      </c>
      <c r="K184">
        <f t="shared" si="22"/>
        <v>1</v>
      </c>
      <c r="L184">
        <f t="shared" si="23"/>
        <v>7</v>
      </c>
      <c r="M184">
        <f t="shared" si="24"/>
        <v>1</v>
      </c>
      <c r="N184">
        <v>4</v>
      </c>
      <c r="O184">
        <v>24.08</v>
      </c>
      <c r="P184">
        <v>2.92</v>
      </c>
      <c r="Q184" s="5">
        <f t="shared" si="25"/>
        <v>0.1212624584717608</v>
      </c>
      <c r="R184" s="5">
        <f t="shared" si="26"/>
        <v>0.15864213463312013</v>
      </c>
      <c r="S184" s="10">
        <f t="shared" si="27"/>
        <v>3.0076874475229554</v>
      </c>
      <c r="T184" s="12">
        <f t="shared" si="28"/>
        <v>3.8201026019655324</v>
      </c>
      <c r="U184" s="10">
        <f t="shared" si="29"/>
        <v>3.4138950247442441</v>
      </c>
    </row>
    <row r="185" spans="1:21" x14ac:dyDescent="0.2">
      <c r="A185" t="s">
        <v>11</v>
      </c>
      <c r="B185" t="s">
        <v>8</v>
      </c>
      <c r="C185" t="s">
        <v>21</v>
      </c>
      <c r="D185" t="s">
        <v>10</v>
      </c>
      <c r="E185">
        <v>3</v>
      </c>
      <c r="F185">
        <v>24.06</v>
      </c>
      <c r="G185">
        <v>3.6</v>
      </c>
      <c r="H185" s="5">
        <f t="shared" si="20"/>
        <v>0.14962593516209477</v>
      </c>
      <c r="J185" s="11">
        <f t="shared" si="21"/>
        <v>0</v>
      </c>
      <c r="K185">
        <f t="shared" si="22"/>
        <v>0</v>
      </c>
      <c r="L185">
        <f t="shared" si="23"/>
        <v>6</v>
      </c>
      <c r="M185">
        <f t="shared" si="24"/>
        <v>1</v>
      </c>
      <c r="N185">
        <v>2</v>
      </c>
      <c r="O185">
        <v>24.27</v>
      </c>
      <c r="P185">
        <v>2.0299999999999998</v>
      </c>
      <c r="Q185" s="5">
        <f t="shared" si="25"/>
        <v>8.3642356819118246E-2</v>
      </c>
      <c r="R185" s="5">
        <f t="shared" si="26"/>
        <v>0.15907354121717945</v>
      </c>
      <c r="S185" s="10">
        <f t="shared" si="27"/>
        <v>3.1140807873177652</v>
      </c>
      <c r="T185" s="12">
        <f t="shared" si="28"/>
        <v>3.8607148453409454</v>
      </c>
      <c r="U185" s="10">
        <f t="shared" si="29"/>
        <v>3.4873978163293553</v>
      </c>
    </row>
    <row r="186" spans="1:21" x14ac:dyDescent="0.2">
      <c r="A186" t="s">
        <v>7</v>
      </c>
      <c r="B186" t="s">
        <v>8</v>
      </c>
      <c r="C186" t="s">
        <v>9</v>
      </c>
      <c r="D186" t="s">
        <v>10</v>
      </c>
      <c r="E186">
        <v>4</v>
      </c>
      <c r="F186">
        <v>24.59</v>
      </c>
      <c r="G186">
        <v>3.61</v>
      </c>
      <c r="H186" s="5">
        <f t="shared" si="20"/>
        <v>0.14680764538430255</v>
      </c>
      <c r="J186" s="11">
        <f t="shared" si="21"/>
        <v>1</v>
      </c>
      <c r="K186">
        <f t="shared" si="22"/>
        <v>0</v>
      </c>
      <c r="L186">
        <f t="shared" si="23"/>
        <v>7</v>
      </c>
      <c r="M186">
        <f t="shared" si="24"/>
        <v>1</v>
      </c>
      <c r="N186">
        <v>3</v>
      </c>
      <c r="O186">
        <v>24.52</v>
      </c>
      <c r="P186">
        <v>3.48</v>
      </c>
      <c r="Q186" s="5">
        <f t="shared" si="25"/>
        <v>0.14192495921696574</v>
      </c>
      <c r="R186" s="5">
        <f t="shared" si="26"/>
        <v>0.16087822567523408</v>
      </c>
      <c r="S186" s="10">
        <f t="shared" si="27"/>
        <v>3.2637020038792115</v>
      </c>
      <c r="T186" s="12">
        <f t="shared" si="28"/>
        <v>3.9447340935567397</v>
      </c>
      <c r="U186" s="10">
        <f t="shared" si="29"/>
        <v>3.6042180487179758</v>
      </c>
    </row>
    <row r="187" spans="1:21" x14ac:dyDescent="0.2">
      <c r="A187" t="s">
        <v>11</v>
      </c>
      <c r="B187" t="s">
        <v>22</v>
      </c>
      <c r="C187" t="s">
        <v>9</v>
      </c>
      <c r="D187" t="s">
        <v>10</v>
      </c>
      <c r="E187">
        <v>4</v>
      </c>
      <c r="F187">
        <v>34.65</v>
      </c>
      <c r="G187">
        <v>3.68</v>
      </c>
      <c r="H187" s="5">
        <f t="shared" si="20"/>
        <v>0.10620490620490622</v>
      </c>
      <c r="J187" s="11">
        <f t="shared" si="21"/>
        <v>0</v>
      </c>
      <c r="K187">
        <f t="shared" si="22"/>
        <v>1</v>
      </c>
      <c r="L187">
        <f t="shared" si="23"/>
        <v>7</v>
      </c>
      <c r="M187">
        <f t="shared" si="24"/>
        <v>1</v>
      </c>
      <c r="N187">
        <v>4</v>
      </c>
      <c r="O187">
        <v>24.55</v>
      </c>
      <c r="P187">
        <v>2</v>
      </c>
      <c r="Q187" s="5">
        <f t="shared" si="25"/>
        <v>8.1466395112016296E-2</v>
      </c>
      <c r="R187" s="5">
        <f t="shared" si="26"/>
        <v>0.15864213463312013</v>
      </c>
      <c r="S187" s="10">
        <f t="shared" si="27"/>
        <v>3.318306990142498</v>
      </c>
      <c r="T187" s="12">
        <f t="shared" si="28"/>
        <v>3.8946644052430992</v>
      </c>
      <c r="U187" s="10">
        <f t="shared" si="29"/>
        <v>3.6064856976927988</v>
      </c>
    </row>
    <row r="188" spans="1:21" x14ac:dyDescent="0.2">
      <c r="A188" t="s">
        <v>11</v>
      </c>
      <c r="B188" t="s">
        <v>8</v>
      </c>
      <c r="C188" t="s">
        <v>9</v>
      </c>
      <c r="D188" t="s">
        <v>10</v>
      </c>
      <c r="E188">
        <v>3</v>
      </c>
      <c r="F188">
        <v>16.29</v>
      </c>
      <c r="G188">
        <v>3.71</v>
      </c>
      <c r="H188" s="5">
        <f t="shared" si="20"/>
        <v>0.22774708410067526</v>
      </c>
      <c r="J188" s="11">
        <f t="shared" si="21"/>
        <v>0</v>
      </c>
      <c r="K188">
        <f t="shared" si="22"/>
        <v>0</v>
      </c>
      <c r="L188">
        <f t="shared" si="23"/>
        <v>7</v>
      </c>
      <c r="M188">
        <f t="shared" si="24"/>
        <v>1</v>
      </c>
      <c r="N188">
        <v>4</v>
      </c>
      <c r="O188">
        <v>24.59</v>
      </c>
      <c r="P188">
        <v>3.61</v>
      </c>
      <c r="Q188" s="5">
        <f t="shared" si="25"/>
        <v>0.14680764538430255</v>
      </c>
      <c r="R188" s="5">
        <f t="shared" si="26"/>
        <v>0.15786861814158762</v>
      </c>
      <c r="S188" s="10">
        <f t="shared" si="27"/>
        <v>3.1664864134520667</v>
      </c>
      <c r="T188" s="12">
        <f t="shared" si="28"/>
        <v>3.8819893201016393</v>
      </c>
      <c r="U188" s="10">
        <f t="shared" si="29"/>
        <v>3.5242378667768532</v>
      </c>
    </row>
    <row r="189" spans="1:21" x14ac:dyDescent="0.2">
      <c r="A189" t="s">
        <v>7</v>
      </c>
      <c r="B189" t="s">
        <v>8</v>
      </c>
      <c r="C189" t="s">
        <v>9</v>
      </c>
      <c r="D189" t="s">
        <v>10</v>
      </c>
      <c r="E189">
        <v>4</v>
      </c>
      <c r="F189">
        <v>25</v>
      </c>
      <c r="G189">
        <v>3.75</v>
      </c>
      <c r="H189" s="5">
        <f t="shared" si="20"/>
        <v>0.15</v>
      </c>
      <c r="J189" s="11">
        <f t="shared" si="21"/>
        <v>1</v>
      </c>
      <c r="K189">
        <f t="shared" si="22"/>
        <v>0</v>
      </c>
      <c r="L189">
        <f t="shared" si="23"/>
        <v>7</v>
      </c>
      <c r="M189">
        <f t="shared" si="24"/>
        <v>1</v>
      </c>
      <c r="N189">
        <v>2</v>
      </c>
      <c r="O189">
        <v>24.71</v>
      </c>
      <c r="P189">
        <v>5.85</v>
      </c>
      <c r="Q189" s="5">
        <f t="shared" si="25"/>
        <v>0.23674625657628487</v>
      </c>
      <c r="R189" s="5">
        <f t="shared" si="26"/>
        <v>0.16359069307477619</v>
      </c>
      <c r="S189" s="10">
        <f t="shared" si="27"/>
        <v>3.2637020038792115</v>
      </c>
      <c r="T189" s="12">
        <f t="shared" si="28"/>
        <v>4.0423260258777196</v>
      </c>
      <c r="U189" s="10">
        <f t="shared" si="29"/>
        <v>3.6530140148784653</v>
      </c>
    </row>
    <row r="190" spans="1:21" x14ac:dyDescent="0.2">
      <c r="A190" t="s">
        <v>11</v>
      </c>
      <c r="B190" t="s">
        <v>8</v>
      </c>
      <c r="C190" t="s">
        <v>21</v>
      </c>
      <c r="D190" t="s">
        <v>10</v>
      </c>
      <c r="E190">
        <v>2</v>
      </c>
      <c r="F190">
        <v>18.239999999999998</v>
      </c>
      <c r="G190">
        <v>3.76</v>
      </c>
      <c r="H190" s="5">
        <f t="shared" si="20"/>
        <v>0.20614035087719298</v>
      </c>
      <c r="J190" s="11">
        <f t="shared" si="21"/>
        <v>0</v>
      </c>
      <c r="K190">
        <f t="shared" si="22"/>
        <v>0</v>
      </c>
      <c r="L190">
        <f t="shared" si="23"/>
        <v>6</v>
      </c>
      <c r="M190">
        <f t="shared" si="24"/>
        <v>1</v>
      </c>
      <c r="N190">
        <v>4</v>
      </c>
      <c r="O190">
        <v>25</v>
      </c>
      <c r="P190">
        <v>3.75</v>
      </c>
      <c r="Q190" s="5">
        <f t="shared" si="25"/>
        <v>0.15</v>
      </c>
      <c r="R190" s="5">
        <f t="shared" si="26"/>
        <v>0.15511950414891634</v>
      </c>
      <c r="S190" s="10">
        <f t="shared" si="27"/>
        <v>2.9519107468319357</v>
      </c>
      <c r="T190" s="12">
        <f t="shared" si="28"/>
        <v>3.8779876037229086</v>
      </c>
      <c r="U190" s="10">
        <f t="shared" si="29"/>
        <v>3.4149491752774219</v>
      </c>
    </row>
    <row r="191" spans="1:21" x14ac:dyDescent="0.2">
      <c r="A191" t="s">
        <v>11</v>
      </c>
      <c r="B191" t="s">
        <v>22</v>
      </c>
      <c r="C191" t="s">
        <v>21</v>
      </c>
      <c r="D191" t="s">
        <v>10</v>
      </c>
      <c r="E191">
        <v>4</v>
      </c>
      <c r="F191">
        <v>18.29</v>
      </c>
      <c r="G191">
        <v>3.76</v>
      </c>
      <c r="H191" s="5">
        <f t="shared" si="20"/>
        <v>0.20557681793329688</v>
      </c>
      <c r="J191" s="11">
        <f t="shared" si="21"/>
        <v>0</v>
      </c>
      <c r="K191">
        <f t="shared" si="22"/>
        <v>1</v>
      </c>
      <c r="L191">
        <f t="shared" si="23"/>
        <v>6</v>
      </c>
      <c r="M191">
        <f t="shared" si="24"/>
        <v>1</v>
      </c>
      <c r="N191">
        <v>2</v>
      </c>
      <c r="O191">
        <v>25.21</v>
      </c>
      <c r="P191">
        <v>4.29</v>
      </c>
      <c r="Q191" s="5">
        <f t="shared" si="25"/>
        <v>0.17017056723522411</v>
      </c>
      <c r="R191" s="5">
        <f t="shared" si="26"/>
        <v>0.15984705770871196</v>
      </c>
      <c r="S191" s="10">
        <f t="shared" si="27"/>
        <v>3.2659013640081964</v>
      </c>
      <c r="T191" s="12">
        <f t="shared" si="28"/>
        <v>4.0297443248366287</v>
      </c>
      <c r="U191" s="10">
        <f t="shared" si="29"/>
        <v>3.6478228444224126</v>
      </c>
    </row>
    <row r="192" spans="1:21" x14ac:dyDescent="0.2">
      <c r="A192" t="s">
        <v>11</v>
      </c>
      <c r="B192" t="s">
        <v>8</v>
      </c>
      <c r="C192" t="s">
        <v>9</v>
      </c>
      <c r="D192" t="s">
        <v>10</v>
      </c>
      <c r="E192">
        <v>2</v>
      </c>
      <c r="F192">
        <v>21.58</v>
      </c>
      <c r="G192">
        <v>3.92</v>
      </c>
      <c r="H192" s="5">
        <f t="shared" si="20"/>
        <v>0.18164967562557924</v>
      </c>
      <c r="J192" s="11">
        <f t="shared" si="21"/>
        <v>0</v>
      </c>
      <c r="K192">
        <f t="shared" si="22"/>
        <v>0</v>
      </c>
      <c r="L192">
        <f t="shared" si="23"/>
        <v>7</v>
      </c>
      <c r="M192">
        <f t="shared" si="24"/>
        <v>1</v>
      </c>
      <c r="N192">
        <v>2</v>
      </c>
      <c r="O192">
        <v>25.28</v>
      </c>
      <c r="P192">
        <v>5</v>
      </c>
      <c r="Q192" s="5">
        <f t="shared" si="25"/>
        <v>0.19778481012658228</v>
      </c>
      <c r="R192" s="5">
        <f t="shared" si="26"/>
        <v>0.16182265520985073</v>
      </c>
      <c r="S192" s="10">
        <f t="shared" si="27"/>
        <v>3.0043163729662368</v>
      </c>
      <c r="T192" s="12">
        <f t="shared" si="28"/>
        <v>4.0908767237050263</v>
      </c>
      <c r="U192" s="10">
        <f t="shared" si="29"/>
        <v>3.5475965483356315</v>
      </c>
    </row>
    <row r="193" spans="1:21" x14ac:dyDescent="0.2">
      <c r="A193" t="s">
        <v>11</v>
      </c>
      <c r="B193" t="s">
        <v>8</v>
      </c>
      <c r="C193" t="s">
        <v>23</v>
      </c>
      <c r="D193" t="s">
        <v>24</v>
      </c>
      <c r="E193">
        <v>2</v>
      </c>
      <c r="F193">
        <v>18.28</v>
      </c>
      <c r="G193">
        <v>4</v>
      </c>
      <c r="H193" s="5">
        <f t="shared" si="20"/>
        <v>0.21881838074398249</v>
      </c>
      <c r="J193" s="11">
        <f t="shared" si="21"/>
        <v>0</v>
      </c>
      <c r="K193">
        <f t="shared" si="22"/>
        <v>0</v>
      </c>
      <c r="L193">
        <f t="shared" si="23"/>
        <v>4</v>
      </c>
      <c r="M193">
        <f t="shared" si="24"/>
        <v>0</v>
      </c>
      <c r="N193">
        <v>4</v>
      </c>
      <c r="O193">
        <v>25.29</v>
      </c>
      <c r="P193">
        <v>4.71</v>
      </c>
      <c r="Q193" s="5">
        <f t="shared" si="25"/>
        <v>0.18623962040332148</v>
      </c>
      <c r="R193" s="5">
        <f t="shared" si="26"/>
        <v>0.15766631554123561</v>
      </c>
      <c r="S193" s="10">
        <f t="shared" si="27"/>
        <v>2.8326639359071408</v>
      </c>
      <c r="T193" s="12">
        <f t="shared" si="28"/>
        <v>3.9873811200378486</v>
      </c>
      <c r="U193" s="10">
        <f t="shared" si="29"/>
        <v>3.4100225279724947</v>
      </c>
    </row>
    <row r="194" spans="1:21" x14ac:dyDescent="0.2">
      <c r="A194" t="s">
        <v>11</v>
      </c>
      <c r="B194" t="s">
        <v>22</v>
      </c>
      <c r="C194" t="s">
        <v>25</v>
      </c>
      <c r="D194" t="s">
        <v>10</v>
      </c>
      <c r="E194">
        <v>2</v>
      </c>
      <c r="F194">
        <v>27.28</v>
      </c>
      <c r="G194">
        <v>4</v>
      </c>
      <c r="H194" s="5">
        <f t="shared" ref="H194:H257" si="30">G194/F194</f>
        <v>0.14662756598240467</v>
      </c>
      <c r="J194" s="11">
        <f t="shared" ref="J194:J245" si="31">IF(A194="Male",0, 1)</f>
        <v>0</v>
      </c>
      <c r="K194">
        <f t="shared" ref="K194:K245" si="32">IF(B194="No",0, 1)</f>
        <v>1</v>
      </c>
      <c r="L194">
        <f t="shared" ref="L194:L245" si="33">IF(C194="Mon",1,IF(C194="Tues",2,IF(C194="Wed",3,IF(C194="Thur",4,IF(C194="Fri",5,IF(C194="Sat",6,7))))))</f>
        <v>5</v>
      </c>
      <c r="M194">
        <f t="shared" ref="M194:M245" si="34">IF(D194="Lunch",0,1)</f>
        <v>1</v>
      </c>
      <c r="N194">
        <v>4</v>
      </c>
      <c r="O194">
        <v>25.56</v>
      </c>
      <c r="P194">
        <v>4.34</v>
      </c>
      <c r="Q194" s="5">
        <f t="shared" ref="Q194:Q257" si="35">P194/O194</f>
        <v>0.16979655712050079</v>
      </c>
      <c r="R194" s="5">
        <f t="shared" ref="R194:R245" si="36">AVERAGE(IF(A194="Female",GETPIVOTDATA("tip %",$W$26,"sex","Female"),GETPIVOTDATA("tip %",$W$26,"sex","Male")),IF(K194=0,GETPIVOTDATA("tip %",$AA$26,"smoker","No"),GETPIVOTDATA("tip %",$AA$26,"smoker","Yes")),IF(C194=$W$33,GETPIVOTDATA("tip %",$W$32,"day","Thur"),IF(C194=$W$34,GETPIVOTDATA("tip %",$W$32,"day","Fri"),IF(C194=$W$35,GETPIVOTDATA("tip %",$W$32,"day","Sat"),IF(C194=$W$36,GETPIVOTDATA("tip %",$W$32,"day","Sun"),GETPIVOTDATA("tip %",$W$32))))),IF(D194=$AE$27,GETPIVOTDATA("tip %",$AE$26,"time","Dinner"),GETPIVOTDATA("tip %",$AE$26,"time","Lunch")),IF(N194=$AA$33,GETPIVOTDATA("Average of tip %",$AA$32,"size",1),IF(N194=$AA$34,GETPIVOTDATA("Average of tip %",$AA$32,"size",2),IF(N194=$AA$35,GETPIVOTDATA("Average of tip %",$AA$32,"size",3),IF(N194=$AA$36,GETPIVOTDATA("Average of tip %",$AA$32,"size",4),IF(N194=$AA$37,GETPIVOTDATA("Average of tip %",$AA$32,"size",5),GETPIVOTDATA("Average of tip %",$AA$32,"size",6)))))))</f>
        <v>0.15924528310958902</v>
      </c>
      <c r="S194" s="10">
        <f t="shared" si="27"/>
        <v>2.903608500154534</v>
      </c>
      <c r="T194" s="12">
        <f t="shared" si="28"/>
        <v>4.0703094362810948</v>
      </c>
      <c r="U194" s="10">
        <f t="shared" si="29"/>
        <v>3.4869589682178144</v>
      </c>
    </row>
    <row r="195" spans="1:21" x14ac:dyDescent="0.2">
      <c r="A195" t="s">
        <v>7</v>
      </c>
      <c r="B195" t="s">
        <v>22</v>
      </c>
      <c r="C195" t="s">
        <v>21</v>
      </c>
      <c r="D195" t="s">
        <v>10</v>
      </c>
      <c r="E195">
        <v>2</v>
      </c>
      <c r="F195">
        <v>14.31</v>
      </c>
      <c r="G195">
        <v>4</v>
      </c>
      <c r="H195" s="5">
        <f t="shared" si="30"/>
        <v>0.27952480782669459</v>
      </c>
      <c r="J195" s="11">
        <f t="shared" si="31"/>
        <v>1</v>
      </c>
      <c r="K195">
        <f t="shared" si="32"/>
        <v>1</v>
      </c>
      <c r="L195">
        <f t="shared" si="33"/>
        <v>6</v>
      </c>
      <c r="M195">
        <f t="shared" si="34"/>
        <v>1</v>
      </c>
      <c r="N195">
        <v>3</v>
      </c>
      <c r="O195">
        <v>25.71</v>
      </c>
      <c r="P195">
        <v>4</v>
      </c>
      <c r="Q195" s="5">
        <f t="shared" si="35"/>
        <v>0.15558148580318942</v>
      </c>
      <c r="R195" s="5">
        <f t="shared" si="36"/>
        <v>0.15890262817409534</v>
      </c>
      <c r="S195" s="10">
        <f t="shared" ref="S195:S245" si="37">AVERAGE(IF(A195=$W$27,GETPIVOTDATA("Average of tip",$W$26,"sex","Female"),GETPIVOTDATA("Average of tip",$W$26,"sex","Male")),IF(B195=$AA$27,GETPIVOTDATA("Average of tip",$AA$26,"smoker","No"),GETPIVOTDATA("Average of tip",$AA$26,"smoker","Yes")),IF(C195=$W$33,GETPIVOTDATA("Average of tip",$W$32,"day","Thur"),IF(C195=$W$34,GETPIVOTDATA("Average of tip",$W$32,"day","Fri"),IF(C195=$W$35,GETPIVOTDATA("Average of tip",$W$32,"day","Sat"),GETPIVOTDATA("Average of tip",$W$32,"day","Sun")))),IF(D195=$AE$27,GETPIVOTDATA("Average of tip",$AE$26,"time","Dinner"),GETPIVOTDATA("Average of tip",$AE$26,"time","Lunch")),IF(E195=$AA$33,GETPIVOTDATA("Average of tip",$AA$32,"size",1),IF(E195=$AA$34,GETPIVOTDATA("Average of tip",$AA$32,"size",2),IF(E195=$AA$35,GETPIVOTDATA("Average of tip",$AA$32,"size",3),IF(E195=$AA$36,GETPIVOTDATA("Average of tip",$AA$32,"size",4),IF(E195=$AA$37,GETPIVOTDATA("Average of tip",$AA$32,"size",5),GETPIVOTDATA("Average of tip",$AA$32,"size",6)))))))</f>
        <v>2.9040479096820868</v>
      </c>
      <c r="T195" s="12">
        <f t="shared" ref="T195:T245" si="38">R195*O195</f>
        <v>4.0853865703559915</v>
      </c>
      <c r="U195" s="10">
        <f t="shared" ref="U195:U245" si="39">AVERAGE(S195,T195)</f>
        <v>3.4947172400190389</v>
      </c>
    </row>
    <row r="196" spans="1:21" x14ac:dyDescent="0.2">
      <c r="A196" t="s">
        <v>11</v>
      </c>
      <c r="B196" t="s">
        <v>22</v>
      </c>
      <c r="C196" t="s">
        <v>9</v>
      </c>
      <c r="D196" t="s">
        <v>10</v>
      </c>
      <c r="E196">
        <v>2</v>
      </c>
      <c r="F196">
        <v>16.82</v>
      </c>
      <c r="G196">
        <v>4</v>
      </c>
      <c r="H196" s="5">
        <f t="shared" si="30"/>
        <v>0.23781212841854935</v>
      </c>
      <c r="J196" s="11">
        <f t="shared" si="31"/>
        <v>0</v>
      </c>
      <c r="K196">
        <f t="shared" si="32"/>
        <v>1</v>
      </c>
      <c r="L196">
        <f t="shared" si="33"/>
        <v>7</v>
      </c>
      <c r="M196">
        <f t="shared" si="34"/>
        <v>1</v>
      </c>
      <c r="N196">
        <v>4</v>
      </c>
      <c r="O196">
        <v>25.89</v>
      </c>
      <c r="P196">
        <v>5.16</v>
      </c>
      <c r="Q196" s="5">
        <f t="shared" si="35"/>
        <v>0.19930475086906141</v>
      </c>
      <c r="R196" s="5">
        <f t="shared" si="36"/>
        <v>0.15864213463312013</v>
      </c>
      <c r="S196" s="10">
        <f t="shared" si="37"/>
        <v>3.0076874475229554</v>
      </c>
      <c r="T196" s="12">
        <f t="shared" si="38"/>
        <v>4.1072448656514799</v>
      </c>
      <c r="U196" s="10">
        <f t="shared" si="39"/>
        <v>3.5574661565872177</v>
      </c>
    </row>
    <row r="197" spans="1:21" x14ac:dyDescent="0.2">
      <c r="A197" t="s">
        <v>7</v>
      </c>
      <c r="B197" t="s">
        <v>22</v>
      </c>
      <c r="C197" t="s">
        <v>9</v>
      </c>
      <c r="D197" t="s">
        <v>10</v>
      </c>
      <c r="E197">
        <v>2</v>
      </c>
      <c r="F197">
        <v>9.6</v>
      </c>
      <c r="G197">
        <v>4</v>
      </c>
      <c r="H197" s="5">
        <f t="shared" si="30"/>
        <v>0.41666666666666669</v>
      </c>
      <c r="J197" s="11">
        <f t="shared" si="31"/>
        <v>1</v>
      </c>
      <c r="K197">
        <f t="shared" si="32"/>
        <v>1</v>
      </c>
      <c r="L197">
        <f t="shared" si="33"/>
        <v>7</v>
      </c>
      <c r="M197">
        <f t="shared" si="34"/>
        <v>1</v>
      </c>
      <c r="N197">
        <v>2</v>
      </c>
      <c r="O197">
        <v>26.41</v>
      </c>
      <c r="P197">
        <v>1.5</v>
      </c>
      <c r="Q197" s="5">
        <f t="shared" si="35"/>
        <v>5.679666792881484E-2</v>
      </c>
      <c r="R197" s="5">
        <f t="shared" si="36"/>
        <v>0.16436420956630871</v>
      </c>
      <c r="S197" s="10">
        <f t="shared" si="37"/>
        <v>2.9564535358163879</v>
      </c>
      <c r="T197" s="12">
        <f t="shared" si="38"/>
        <v>4.3408587746462128</v>
      </c>
      <c r="U197" s="10">
        <f t="shared" si="39"/>
        <v>3.6486561552313006</v>
      </c>
    </row>
    <row r="198" spans="1:21" x14ac:dyDescent="0.2">
      <c r="A198" t="s">
        <v>11</v>
      </c>
      <c r="B198" t="s">
        <v>22</v>
      </c>
      <c r="C198" t="s">
        <v>23</v>
      </c>
      <c r="D198" t="s">
        <v>24</v>
      </c>
      <c r="E198">
        <v>2</v>
      </c>
      <c r="F198">
        <v>16.579999999999998</v>
      </c>
      <c r="G198">
        <v>4</v>
      </c>
      <c r="H198" s="5">
        <f t="shared" si="30"/>
        <v>0.24125452352231608</v>
      </c>
      <c r="J198" s="11">
        <f t="shared" si="31"/>
        <v>0</v>
      </c>
      <c r="K198">
        <f t="shared" si="32"/>
        <v>1</v>
      </c>
      <c r="L198">
        <f t="shared" si="33"/>
        <v>4</v>
      </c>
      <c r="M198">
        <f t="shared" si="34"/>
        <v>0</v>
      </c>
      <c r="N198">
        <v>3</v>
      </c>
      <c r="O198">
        <v>26.59</v>
      </c>
      <c r="P198">
        <v>3.41</v>
      </c>
      <c r="Q198" s="5">
        <f t="shared" si="35"/>
        <v>0.1282437006393381</v>
      </c>
      <c r="R198" s="5">
        <f t="shared" si="36"/>
        <v>0.1596814017014892</v>
      </c>
      <c r="S198" s="10">
        <f t="shared" si="37"/>
        <v>2.836035010463859</v>
      </c>
      <c r="T198" s="12">
        <f t="shared" si="38"/>
        <v>4.245928471242598</v>
      </c>
      <c r="U198" s="10">
        <f t="shared" si="39"/>
        <v>3.5409817408532285</v>
      </c>
    </row>
    <row r="199" spans="1:21" x14ac:dyDescent="0.2">
      <c r="A199" t="s">
        <v>11</v>
      </c>
      <c r="B199" t="s">
        <v>8</v>
      </c>
      <c r="C199" t="s">
        <v>9</v>
      </c>
      <c r="D199" t="s">
        <v>10</v>
      </c>
      <c r="E199">
        <v>3</v>
      </c>
      <c r="F199">
        <v>38.07</v>
      </c>
      <c r="G199">
        <v>4</v>
      </c>
      <c r="H199" s="5">
        <f t="shared" si="30"/>
        <v>0.10506960861570791</v>
      </c>
      <c r="J199" s="11">
        <f t="shared" si="31"/>
        <v>0</v>
      </c>
      <c r="K199">
        <f t="shared" si="32"/>
        <v>0</v>
      </c>
      <c r="L199">
        <f t="shared" si="33"/>
        <v>7</v>
      </c>
      <c r="M199">
        <f t="shared" si="34"/>
        <v>1</v>
      </c>
      <c r="N199">
        <v>2</v>
      </c>
      <c r="O199">
        <v>26.86</v>
      </c>
      <c r="P199">
        <v>3.14</v>
      </c>
      <c r="Q199" s="5">
        <f t="shared" si="35"/>
        <v>0.11690245718540582</v>
      </c>
      <c r="R199" s="5">
        <f t="shared" si="36"/>
        <v>0.16182265520985073</v>
      </c>
      <c r="S199" s="10">
        <f t="shared" si="37"/>
        <v>3.1664864134520667</v>
      </c>
      <c r="T199" s="12">
        <f t="shared" si="38"/>
        <v>4.3465565189365902</v>
      </c>
      <c r="U199" s="10">
        <f t="shared" si="39"/>
        <v>3.7565214661943287</v>
      </c>
    </row>
    <row r="200" spans="1:21" x14ac:dyDescent="0.2">
      <c r="A200" t="s">
        <v>7</v>
      </c>
      <c r="B200" t="s">
        <v>8</v>
      </c>
      <c r="C200" t="s">
        <v>9</v>
      </c>
      <c r="D200" t="s">
        <v>10</v>
      </c>
      <c r="E200">
        <v>3</v>
      </c>
      <c r="F200">
        <v>25.71</v>
      </c>
      <c r="G200">
        <v>4</v>
      </c>
      <c r="H200" s="5">
        <f t="shared" si="30"/>
        <v>0.15558148580318942</v>
      </c>
      <c r="J200" s="11">
        <f t="shared" si="31"/>
        <v>1</v>
      </c>
      <c r="K200">
        <f t="shared" si="32"/>
        <v>0</v>
      </c>
      <c r="L200">
        <f t="shared" si="33"/>
        <v>7</v>
      </c>
      <c r="M200">
        <f t="shared" si="34"/>
        <v>1</v>
      </c>
      <c r="N200">
        <v>4</v>
      </c>
      <c r="O200">
        <v>26.88</v>
      </c>
      <c r="P200">
        <v>3.12</v>
      </c>
      <c r="Q200" s="5">
        <f t="shared" si="35"/>
        <v>0.11607142857142858</v>
      </c>
      <c r="R200" s="5">
        <f t="shared" si="36"/>
        <v>0.15963665600651306</v>
      </c>
      <c r="S200" s="10">
        <f t="shared" si="37"/>
        <v>3.1152525017454993</v>
      </c>
      <c r="T200" s="12">
        <f t="shared" si="38"/>
        <v>4.2910333134550704</v>
      </c>
      <c r="U200" s="10">
        <f t="shared" si="39"/>
        <v>3.7031429076002849</v>
      </c>
    </row>
    <row r="201" spans="1:21" x14ac:dyDescent="0.2">
      <c r="A201" t="s">
        <v>11</v>
      </c>
      <c r="B201" t="s">
        <v>22</v>
      </c>
      <c r="C201" t="s">
        <v>9</v>
      </c>
      <c r="D201" t="s">
        <v>10</v>
      </c>
      <c r="E201">
        <v>3</v>
      </c>
      <c r="F201">
        <v>23.1</v>
      </c>
      <c r="G201">
        <v>4</v>
      </c>
      <c r="H201" s="5">
        <f t="shared" si="30"/>
        <v>0.17316017316017315</v>
      </c>
      <c r="J201" s="11">
        <f t="shared" si="31"/>
        <v>0</v>
      </c>
      <c r="K201">
        <f t="shared" si="32"/>
        <v>1</v>
      </c>
      <c r="L201">
        <f t="shared" si="33"/>
        <v>7</v>
      </c>
      <c r="M201">
        <f t="shared" si="34"/>
        <v>1</v>
      </c>
      <c r="N201">
        <v>6</v>
      </c>
      <c r="O201">
        <v>27.05</v>
      </c>
      <c r="P201">
        <v>5</v>
      </c>
      <c r="Q201" s="5">
        <f t="shared" si="35"/>
        <v>0.18484288354898337</v>
      </c>
      <c r="R201" s="5">
        <f t="shared" si="36"/>
        <v>0.16069817349847423</v>
      </c>
      <c r="S201" s="10">
        <f t="shared" si="37"/>
        <v>3.1698574880087849</v>
      </c>
      <c r="T201" s="12">
        <f t="shared" si="38"/>
        <v>4.3468855931337282</v>
      </c>
      <c r="U201" s="10">
        <f t="shared" si="39"/>
        <v>3.7583715405712566</v>
      </c>
    </row>
    <row r="202" spans="1:21" x14ac:dyDescent="0.2">
      <c r="A202" t="s">
        <v>11</v>
      </c>
      <c r="B202" t="s">
        <v>22</v>
      </c>
      <c r="C202" t="s">
        <v>23</v>
      </c>
      <c r="D202" t="s">
        <v>24</v>
      </c>
      <c r="E202">
        <v>3</v>
      </c>
      <c r="F202">
        <v>18.71</v>
      </c>
      <c r="G202">
        <v>4</v>
      </c>
      <c r="H202" s="5">
        <f t="shared" si="30"/>
        <v>0.2137894174238375</v>
      </c>
      <c r="J202" s="11">
        <f t="shared" si="31"/>
        <v>0</v>
      </c>
      <c r="K202">
        <f t="shared" si="32"/>
        <v>1</v>
      </c>
      <c r="L202">
        <f t="shared" si="33"/>
        <v>4</v>
      </c>
      <c r="M202">
        <f t="shared" si="34"/>
        <v>0</v>
      </c>
      <c r="N202">
        <v>2</v>
      </c>
      <c r="O202">
        <v>27.18</v>
      </c>
      <c r="P202">
        <v>2</v>
      </c>
      <c r="Q202" s="5">
        <f t="shared" si="35"/>
        <v>7.358351729212656E-2</v>
      </c>
      <c r="R202" s="5">
        <f t="shared" si="36"/>
        <v>0.16239386910103129</v>
      </c>
      <c r="S202" s="10">
        <f t="shared" si="37"/>
        <v>2.9982050509496889</v>
      </c>
      <c r="T202" s="12">
        <f t="shared" si="38"/>
        <v>4.4138653621660309</v>
      </c>
      <c r="U202" s="10">
        <f t="shared" si="39"/>
        <v>3.7060352065578597</v>
      </c>
    </row>
    <row r="203" spans="1:21" x14ac:dyDescent="0.2">
      <c r="A203" t="s">
        <v>11</v>
      </c>
      <c r="B203" t="s">
        <v>8</v>
      </c>
      <c r="C203" t="s">
        <v>23</v>
      </c>
      <c r="D203" t="s">
        <v>24</v>
      </c>
      <c r="E203">
        <v>4</v>
      </c>
      <c r="F203">
        <v>27.2</v>
      </c>
      <c r="G203">
        <v>4</v>
      </c>
      <c r="H203" s="5">
        <f t="shared" si="30"/>
        <v>0.14705882352941177</v>
      </c>
      <c r="J203" s="11">
        <f t="shared" si="31"/>
        <v>0</v>
      </c>
      <c r="K203">
        <f t="shared" si="32"/>
        <v>0</v>
      </c>
      <c r="L203">
        <f t="shared" si="33"/>
        <v>4</v>
      </c>
      <c r="M203">
        <f t="shared" si="34"/>
        <v>0</v>
      </c>
      <c r="N203">
        <v>4</v>
      </c>
      <c r="O203">
        <v>27.2</v>
      </c>
      <c r="P203">
        <v>4</v>
      </c>
      <c r="Q203" s="5">
        <f t="shared" si="35"/>
        <v>0.14705882352941177</v>
      </c>
      <c r="R203" s="5">
        <f t="shared" si="36"/>
        <v>0.15766631554123561</v>
      </c>
      <c r="S203" s="10">
        <f t="shared" si="37"/>
        <v>3.1432834785266834</v>
      </c>
      <c r="T203" s="12">
        <f t="shared" si="38"/>
        <v>4.2885237827216089</v>
      </c>
      <c r="U203" s="10">
        <f t="shared" si="39"/>
        <v>3.7159036306241462</v>
      </c>
    </row>
    <row r="204" spans="1:21" x14ac:dyDescent="0.2">
      <c r="A204" t="s">
        <v>11</v>
      </c>
      <c r="B204" t="s">
        <v>22</v>
      </c>
      <c r="C204" t="s">
        <v>23</v>
      </c>
      <c r="D204" t="s">
        <v>24</v>
      </c>
      <c r="E204">
        <v>4</v>
      </c>
      <c r="F204">
        <v>20.53</v>
      </c>
      <c r="G204">
        <v>4</v>
      </c>
      <c r="H204" s="5">
        <f t="shared" si="30"/>
        <v>0.19483682415976619</v>
      </c>
      <c r="J204" s="11">
        <f t="shared" si="31"/>
        <v>0</v>
      </c>
      <c r="K204">
        <f t="shared" si="32"/>
        <v>1</v>
      </c>
      <c r="L204">
        <f t="shared" si="33"/>
        <v>4</v>
      </c>
      <c r="M204">
        <f t="shared" si="34"/>
        <v>0</v>
      </c>
      <c r="N204">
        <v>2</v>
      </c>
      <c r="O204">
        <v>27.28</v>
      </c>
      <c r="P204">
        <v>4</v>
      </c>
      <c r="Q204" s="5">
        <f t="shared" si="35"/>
        <v>0.14662756598240467</v>
      </c>
      <c r="R204" s="5">
        <f t="shared" si="36"/>
        <v>0.16239386910103129</v>
      </c>
      <c r="S204" s="10">
        <f t="shared" si="37"/>
        <v>3.146654553083402</v>
      </c>
      <c r="T204" s="12">
        <f t="shared" si="38"/>
        <v>4.4301047490761336</v>
      </c>
      <c r="U204" s="10">
        <f t="shared" si="39"/>
        <v>3.7883796510797678</v>
      </c>
    </row>
    <row r="205" spans="1:21" x14ac:dyDescent="0.2">
      <c r="A205" t="s">
        <v>11</v>
      </c>
      <c r="B205" t="s">
        <v>22</v>
      </c>
      <c r="C205" t="s">
        <v>21</v>
      </c>
      <c r="D205" t="s">
        <v>10</v>
      </c>
      <c r="E205">
        <v>2</v>
      </c>
      <c r="F205">
        <v>20.49</v>
      </c>
      <c r="G205">
        <v>4.0599999999999996</v>
      </c>
      <c r="H205" s="5">
        <f t="shared" si="30"/>
        <v>0.19814543679843827</v>
      </c>
      <c r="J205" s="11">
        <f t="shared" si="31"/>
        <v>0</v>
      </c>
      <c r="K205">
        <f t="shared" si="32"/>
        <v>1</v>
      </c>
      <c r="L205">
        <f t="shared" si="33"/>
        <v>6</v>
      </c>
      <c r="M205">
        <f t="shared" si="34"/>
        <v>1</v>
      </c>
      <c r="N205">
        <v>5</v>
      </c>
      <c r="O205">
        <v>28.15</v>
      </c>
      <c r="P205">
        <v>3</v>
      </c>
      <c r="Q205" s="5">
        <f t="shared" si="35"/>
        <v>0.10657193605683837</v>
      </c>
      <c r="R205" s="5">
        <f t="shared" si="36"/>
        <v>0.15500231729203023</v>
      </c>
      <c r="S205" s="10">
        <f t="shared" si="37"/>
        <v>2.9552818213886538</v>
      </c>
      <c r="T205" s="12">
        <f t="shared" si="38"/>
        <v>4.3633152317706507</v>
      </c>
      <c r="U205" s="10">
        <f t="shared" si="39"/>
        <v>3.6592985265796525</v>
      </c>
    </row>
    <row r="206" spans="1:21" x14ac:dyDescent="0.2">
      <c r="A206" t="s">
        <v>11</v>
      </c>
      <c r="B206" t="s">
        <v>8</v>
      </c>
      <c r="C206" t="s">
        <v>21</v>
      </c>
      <c r="D206" t="s">
        <v>10</v>
      </c>
      <c r="E206">
        <v>2</v>
      </c>
      <c r="F206">
        <v>17.920000000000002</v>
      </c>
      <c r="G206">
        <v>4.08</v>
      </c>
      <c r="H206" s="5">
        <f t="shared" si="30"/>
        <v>0.22767857142857142</v>
      </c>
      <c r="J206" s="11">
        <f t="shared" si="31"/>
        <v>0</v>
      </c>
      <c r="K206">
        <f t="shared" si="32"/>
        <v>0</v>
      </c>
      <c r="L206">
        <f t="shared" si="33"/>
        <v>6</v>
      </c>
      <c r="M206">
        <f t="shared" si="34"/>
        <v>1</v>
      </c>
      <c r="N206">
        <v>3</v>
      </c>
      <c r="O206">
        <v>28.17</v>
      </c>
      <c r="P206">
        <v>6.5</v>
      </c>
      <c r="Q206" s="5">
        <f t="shared" si="35"/>
        <v>0.23074192403265883</v>
      </c>
      <c r="R206" s="5">
        <f t="shared" si="36"/>
        <v>0.15636107381763736</v>
      </c>
      <c r="S206" s="10">
        <f t="shared" si="37"/>
        <v>2.9519107468319357</v>
      </c>
      <c r="T206" s="12">
        <f t="shared" si="38"/>
        <v>4.4046914494428444</v>
      </c>
      <c r="U206" s="10">
        <f t="shared" si="39"/>
        <v>3.67830109813739</v>
      </c>
    </row>
    <row r="207" spans="1:21" x14ac:dyDescent="0.2">
      <c r="A207" t="s">
        <v>7</v>
      </c>
      <c r="B207" t="s">
        <v>8</v>
      </c>
      <c r="C207" t="s">
        <v>21</v>
      </c>
      <c r="D207" t="s">
        <v>10</v>
      </c>
      <c r="E207">
        <v>2</v>
      </c>
      <c r="F207">
        <v>20.92</v>
      </c>
      <c r="G207">
        <v>4.08</v>
      </c>
      <c r="H207" s="5">
        <f t="shared" si="30"/>
        <v>0.19502868068833651</v>
      </c>
      <c r="J207" s="11">
        <f t="shared" si="31"/>
        <v>1</v>
      </c>
      <c r="K207">
        <f t="shared" si="32"/>
        <v>0</v>
      </c>
      <c r="L207">
        <f t="shared" si="33"/>
        <v>6</v>
      </c>
      <c r="M207">
        <f t="shared" si="34"/>
        <v>1</v>
      </c>
      <c r="N207">
        <v>2</v>
      </c>
      <c r="O207">
        <v>28.44</v>
      </c>
      <c r="P207">
        <v>2.56</v>
      </c>
      <c r="Q207" s="5">
        <f t="shared" si="35"/>
        <v>9.0014064697609003E-2</v>
      </c>
      <c r="R207" s="5">
        <f t="shared" si="36"/>
        <v>0.16084157908210489</v>
      </c>
      <c r="S207" s="10">
        <f t="shared" si="37"/>
        <v>2.9006768351253682</v>
      </c>
      <c r="T207" s="12">
        <f t="shared" si="38"/>
        <v>4.5743345090950633</v>
      </c>
      <c r="U207" s="10">
        <f t="shared" si="39"/>
        <v>3.737505672110216</v>
      </c>
    </row>
    <row r="208" spans="1:21" x14ac:dyDescent="0.2">
      <c r="A208" t="s">
        <v>7</v>
      </c>
      <c r="B208" t="s">
        <v>22</v>
      </c>
      <c r="C208" t="s">
        <v>23</v>
      </c>
      <c r="D208" t="s">
        <v>24</v>
      </c>
      <c r="E208">
        <v>2</v>
      </c>
      <c r="F208">
        <v>19.809999999999999</v>
      </c>
      <c r="G208">
        <v>4.1900000000000004</v>
      </c>
      <c r="H208" s="5">
        <f t="shared" si="30"/>
        <v>0.21150933871781932</v>
      </c>
      <c r="J208" s="11">
        <f t="shared" si="31"/>
        <v>1</v>
      </c>
      <c r="K208">
        <f t="shared" si="32"/>
        <v>1</v>
      </c>
      <c r="L208">
        <f t="shared" si="33"/>
        <v>4</v>
      </c>
      <c r="M208">
        <f t="shared" si="34"/>
        <v>0</v>
      </c>
      <c r="N208">
        <v>3</v>
      </c>
      <c r="O208">
        <v>28.55</v>
      </c>
      <c r="P208">
        <v>2.0499999999999998</v>
      </c>
      <c r="Q208" s="5">
        <f t="shared" si="35"/>
        <v>7.1803852889667244E-2</v>
      </c>
      <c r="R208" s="5">
        <f t="shared" si="36"/>
        <v>0.16144943956641461</v>
      </c>
      <c r="S208" s="10">
        <f t="shared" si="37"/>
        <v>2.784801098757292</v>
      </c>
      <c r="T208" s="12">
        <f t="shared" si="38"/>
        <v>4.6093814996211373</v>
      </c>
      <c r="U208" s="10">
        <f t="shared" si="39"/>
        <v>3.6970912991892146</v>
      </c>
    </row>
    <row r="209" spans="1:21" x14ac:dyDescent="0.2">
      <c r="A209" t="s">
        <v>7</v>
      </c>
      <c r="B209" t="s">
        <v>8</v>
      </c>
      <c r="C209" t="s">
        <v>23</v>
      </c>
      <c r="D209" t="s">
        <v>24</v>
      </c>
      <c r="E209">
        <v>6</v>
      </c>
      <c r="F209">
        <v>29.8</v>
      </c>
      <c r="G209">
        <v>4.2</v>
      </c>
      <c r="H209" s="5">
        <f t="shared" si="30"/>
        <v>0.14093959731543623</v>
      </c>
      <c r="J209" s="11">
        <f t="shared" si="31"/>
        <v>1</v>
      </c>
      <c r="K209">
        <f t="shared" si="32"/>
        <v>0</v>
      </c>
      <c r="L209">
        <f t="shared" si="33"/>
        <v>4</v>
      </c>
      <c r="M209">
        <f t="shared" si="34"/>
        <v>0</v>
      </c>
      <c r="N209">
        <v>2</v>
      </c>
      <c r="O209">
        <v>28.97</v>
      </c>
      <c r="P209">
        <v>3</v>
      </c>
      <c r="Q209" s="5">
        <f t="shared" si="35"/>
        <v>0.10355540214014498</v>
      </c>
      <c r="R209" s="5">
        <f t="shared" si="36"/>
        <v>0.16338839047442422</v>
      </c>
      <c r="S209" s="10">
        <f t="shared" si="37"/>
        <v>3.3099684857390343</v>
      </c>
      <c r="T209" s="12">
        <f t="shared" si="38"/>
        <v>4.7333616720440697</v>
      </c>
      <c r="U209" s="10">
        <f t="shared" si="39"/>
        <v>4.0216650788915516</v>
      </c>
    </row>
    <row r="210" spans="1:21" x14ac:dyDescent="0.2">
      <c r="A210" t="s">
        <v>11</v>
      </c>
      <c r="B210" t="s">
        <v>22</v>
      </c>
      <c r="C210" t="s">
        <v>21</v>
      </c>
      <c r="D210" t="s">
        <v>10</v>
      </c>
      <c r="E210">
        <v>2</v>
      </c>
      <c r="F210">
        <v>25.21</v>
      </c>
      <c r="G210">
        <v>4.29</v>
      </c>
      <c r="H210" s="5">
        <f t="shared" si="30"/>
        <v>0.17017056723522411</v>
      </c>
      <c r="J210" s="11">
        <f t="shared" si="31"/>
        <v>0</v>
      </c>
      <c r="K210">
        <f t="shared" si="32"/>
        <v>1</v>
      </c>
      <c r="L210">
        <f t="shared" si="33"/>
        <v>6</v>
      </c>
      <c r="M210">
        <f t="shared" si="34"/>
        <v>1</v>
      </c>
      <c r="N210">
        <v>3</v>
      </c>
      <c r="O210">
        <v>29.03</v>
      </c>
      <c r="P210">
        <v>5.92</v>
      </c>
      <c r="Q210" s="5">
        <f t="shared" si="35"/>
        <v>0.20392697209782981</v>
      </c>
      <c r="R210" s="5">
        <f t="shared" si="36"/>
        <v>0.15713459030916987</v>
      </c>
      <c r="S210" s="10">
        <f t="shared" si="37"/>
        <v>2.9552818213886538</v>
      </c>
      <c r="T210" s="12">
        <f t="shared" si="38"/>
        <v>4.5616171566752017</v>
      </c>
      <c r="U210" s="10">
        <f t="shared" si="39"/>
        <v>3.7584494890319275</v>
      </c>
    </row>
    <row r="211" spans="1:21" x14ac:dyDescent="0.2">
      <c r="A211" t="s">
        <v>11</v>
      </c>
      <c r="B211" t="s">
        <v>8</v>
      </c>
      <c r="C211" t="s">
        <v>21</v>
      </c>
      <c r="D211" t="s">
        <v>10</v>
      </c>
      <c r="E211">
        <v>2</v>
      </c>
      <c r="F211">
        <v>21.7</v>
      </c>
      <c r="G211">
        <v>4.3</v>
      </c>
      <c r="H211" s="5">
        <f t="shared" si="30"/>
        <v>0.19815668202764977</v>
      </c>
      <c r="J211" s="11">
        <f t="shared" si="31"/>
        <v>0</v>
      </c>
      <c r="K211">
        <f t="shared" si="32"/>
        <v>0</v>
      </c>
      <c r="L211">
        <f t="shared" si="33"/>
        <v>6</v>
      </c>
      <c r="M211">
        <f t="shared" si="34"/>
        <v>1</v>
      </c>
      <c r="N211">
        <v>6</v>
      </c>
      <c r="O211">
        <v>29.8</v>
      </c>
      <c r="P211">
        <v>4.2</v>
      </c>
      <c r="Q211" s="5">
        <f t="shared" si="35"/>
        <v>0.14093959731543623</v>
      </c>
      <c r="R211" s="5">
        <f t="shared" si="36"/>
        <v>0.15717554301427045</v>
      </c>
      <c r="S211" s="10">
        <f t="shared" si="37"/>
        <v>2.9519107468319357</v>
      </c>
      <c r="T211" s="12">
        <f t="shared" si="38"/>
        <v>4.6838311818252594</v>
      </c>
      <c r="U211" s="10">
        <f t="shared" si="39"/>
        <v>3.8178709643285975</v>
      </c>
    </row>
    <row r="212" spans="1:21" x14ac:dyDescent="0.2">
      <c r="A212" t="s">
        <v>7</v>
      </c>
      <c r="B212" t="s">
        <v>22</v>
      </c>
      <c r="C212" t="s">
        <v>25</v>
      </c>
      <c r="D212" t="s">
        <v>10</v>
      </c>
      <c r="E212">
        <v>2</v>
      </c>
      <c r="F212">
        <v>16.32</v>
      </c>
      <c r="G212">
        <v>4.3</v>
      </c>
      <c r="H212" s="5">
        <f t="shared" si="30"/>
        <v>0.26348039215686275</v>
      </c>
      <c r="J212" s="11">
        <f t="shared" si="31"/>
        <v>1</v>
      </c>
      <c r="K212">
        <f t="shared" si="32"/>
        <v>1</v>
      </c>
      <c r="L212">
        <f t="shared" si="33"/>
        <v>5</v>
      </c>
      <c r="M212">
        <f t="shared" si="34"/>
        <v>1</v>
      </c>
      <c r="N212">
        <v>5</v>
      </c>
      <c r="O212">
        <v>29.85</v>
      </c>
      <c r="P212">
        <v>5.14</v>
      </c>
      <c r="Q212" s="5">
        <f t="shared" si="35"/>
        <v>0.17219430485762141</v>
      </c>
      <c r="R212" s="5">
        <f t="shared" si="36"/>
        <v>0.16012261762609584</v>
      </c>
      <c r="S212" s="10">
        <f t="shared" si="37"/>
        <v>2.8523745884479665</v>
      </c>
      <c r="T212" s="12">
        <f t="shared" si="38"/>
        <v>4.7796601361389612</v>
      </c>
      <c r="U212" s="10">
        <f t="shared" si="39"/>
        <v>3.8160173622934641</v>
      </c>
    </row>
    <row r="213" spans="1:21" x14ac:dyDescent="0.2">
      <c r="A213" t="s">
        <v>11</v>
      </c>
      <c r="B213" t="s">
        <v>8</v>
      </c>
      <c r="C213" t="s">
        <v>9</v>
      </c>
      <c r="D213" t="s">
        <v>10</v>
      </c>
      <c r="E213">
        <v>4</v>
      </c>
      <c r="F213">
        <v>25.56</v>
      </c>
      <c r="G213">
        <v>4.34</v>
      </c>
      <c r="H213" s="5">
        <f t="shared" si="30"/>
        <v>0.16979655712050079</v>
      </c>
      <c r="J213" s="11">
        <f t="shared" si="31"/>
        <v>0</v>
      </c>
      <c r="K213">
        <f t="shared" si="32"/>
        <v>0</v>
      </c>
      <c r="L213">
        <f t="shared" si="33"/>
        <v>7</v>
      </c>
      <c r="M213">
        <f t="shared" si="34"/>
        <v>1</v>
      </c>
      <c r="N213">
        <v>4</v>
      </c>
      <c r="O213">
        <v>29.93</v>
      </c>
      <c r="P213">
        <v>5.07</v>
      </c>
      <c r="Q213" s="5">
        <f t="shared" si="35"/>
        <v>0.1693952555963916</v>
      </c>
      <c r="R213" s="5">
        <f t="shared" si="36"/>
        <v>0.15786861814158762</v>
      </c>
      <c r="S213" s="10">
        <f t="shared" si="37"/>
        <v>3.3149359155857794</v>
      </c>
      <c r="T213" s="12">
        <f t="shared" si="38"/>
        <v>4.7250077409777171</v>
      </c>
      <c r="U213" s="10">
        <f t="shared" si="39"/>
        <v>4.019971828281748</v>
      </c>
    </row>
    <row r="214" spans="1:21" x14ac:dyDescent="0.2">
      <c r="A214" t="s">
        <v>11</v>
      </c>
      <c r="B214" t="s">
        <v>8</v>
      </c>
      <c r="C214" t="s">
        <v>9</v>
      </c>
      <c r="D214" t="s">
        <v>10</v>
      </c>
      <c r="E214">
        <v>4</v>
      </c>
      <c r="F214">
        <v>31.71</v>
      </c>
      <c r="G214">
        <v>4.5</v>
      </c>
      <c r="H214" s="5">
        <f t="shared" si="30"/>
        <v>0.14191106906338694</v>
      </c>
      <c r="J214" s="11">
        <f t="shared" si="31"/>
        <v>0</v>
      </c>
      <c r="K214">
        <f t="shared" si="32"/>
        <v>0</v>
      </c>
      <c r="L214">
        <f t="shared" si="33"/>
        <v>7</v>
      </c>
      <c r="M214">
        <f t="shared" si="34"/>
        <v>1</v>
      </c>
      <c r="N214">
        <v>3</v>
      </c>
      <c r="O214">
        <v>30.06</v>
      </c>
      <c r="P214">
        <v>2</v>
      </c>
      <c r="Q214" s="5">
        <f t="shared" si="35"/>
        <v>6.6533599467731214E-2</v>
      </c>
      <c r="R214" s="5">
        <f t="shared" si="36"/>
        <v>0.15911018781030864</v>
      </c>
      <c r="S214" s="10">
        <f t="shared" si="37"/>
        <v>3.3149359155857794</v>
      </c>
      <c r="T214" s="12">
        <f t="shared" si="38"/>
        <v>4.7828522455778772</v>
      </c>
      <c r="U214" s="10">
        <f t="shared" si="39"/>
        <v>4.0488940805818281</v>
      </c>
    </row>
    <row r="215" spans="1:21" x14ac:dyDescent="0.2">
      <c r="A215" t="s">
        <v>7</v>
      </c>
      <c r="B215" t="s">
        <v>8</v>
      </c>
      <c r="C215" t="s">
        <v>21</v>
      </c>
      <c r="D215" t="s">
        <v>10</v>
      </c>
      <c r="E215">
        <v>3</v>
      </c>
      <c r="F215">
        <v>35.83</v>
      </c>
      <c r="G215">
        <v>4.67</v>
      </c>
      <c r="H215" s="5">
        <f t="shared" si="30"/>
        <v>0.13033770583310075</v>
      </c>
      <c r="J215" s="11">
        <f t="shared" si="31"/>
        <v>1</v>
      </c>
      <c r="K215">
        <f t="shared" si="32"/>
        <v>0</v>
      </c>
      <c r="L215">
        <f t="shared" si="33"/>
        <v>6</v>
      </c>
      <c r="M215">
        <f t="shared" si="34"/>
        <v>1</v>
      </c>
      <c r="N215">
        <v>4</v>
      </c>
      <c r="O215">
        <v>30.14</v>
      </c>
      <c r="P215">
        <v>3.09</v>
      </c>
      <c r="Q215" s="5">
        <f t="shared" si="35"/>
        <v>0.10252156602521566</v>
      </c>
      <c r="R215" s="5">
        <f t="shared" si="36"/>
        <v>0.15688754201384175</v>
      </c>
      <c r="S215" s="10">
        <f t="shared" si="37"/>
        <v>3.0628468756111977</v>
      </c>
      <c r="T215" s="12">
        <f t="shared" si="38"/>
        <v>4.7285905162971904</v>
      </c>
      <c r="U215" s="10">
        <f t="shared" si="39"/>
        <v>3.8957186959541943</v>
      </c>
    </row>
    <row r="216" spans="1:21" x14ac:dyDescent="0.2">
      <c r="A216" t="s">
        <v>11</v>
      </c>
      <c r="B216" t="s">
        <v>8</v>
      </c>
      <c r="C216" t="s">
        <v>9</v>
      </c>
      <c r="D216" t="s">
        <v>10</v>
      </c>
      <c r="E216">
        <v>4</v>
      </c>
      <c r="F216">
        <v>25.29</v>
      </c>
      <c r="G216">
        <v>4.71</v>
      </c>
      <c r="H216" s="5">
        <f t="shared" si="30"/>
        <v>0.18623962040332148</v>
      </c>
      <c r="J216" s="11">
        <f t="shared" si="31"/>
        <v>0</v>
      </c>
      <c r="K216">
        <f t="shared" si="32"/>
        <v>0</v>
      </c>
      <c r="L216">
        <f t="shared" si="33"/>
        <v>7</v>
      </c>
      <c r="M216">
        <f t="shared" si="34"/>
        <v>1</v>
      </c>
      <c r="N216">
        <v>4</v>
      </c>
      <c r="O216">
        <v>30.4</v>
      </c>
      <c r="P216">
        <v>5.6</v>
      </c>
      <c r="Q216" s="5">
        <f t="shared" si="35"/>
        <v>0.18421052631578946</v>
      </c>
      <c r="R216" s="5">
        <f t="shared" si="36"/>
        <v>0.15786861814158762</v>
      </c>
      <c r="S216" s="10">
        <f t="shared" si="37"/>
        <v>3.3149359155857794</v>
      </c>
      <c r="T216" s="12">
        <f t="shared" si="38"/>
        <v>4.7992059915042633</v>
      </c>
      <c r="U216" s="10">
        <f t="shared" si="39"/>
        <v>4.0570709535450211</v>
      </c>
    </row>
    <row r="217" spans="1:21" x14ac:dyDescent="0.2">
      <c r="A217" t="s">
        <v>11</v>
      </c>
      <c r="B217" t="s">
        <v>22</v>
      </c>
      <c r="C217" t="s">
        <v>25</v>
      </c>
      <c r="D217" t="s">
        <v>10</v>
      </c>
      <c r="E217">
        <v>4</v>
      </c>
      <c r="F217">
        <v>40.17</v>
      </c>
      <c r="G217">
        <v>4.7300000000000004</v>
      </c>
      <c r="H217" s="5">
        <f t="shared" si="30"/>
        <v>0.1177495643515061</v>
      </c>
      <c r="J217" s="11">
        <f t="shared" si="31"/>
        <v>0</v>
      </c>
      <c r="K217">
        <f t="shared" si="32"/>
        <v>1</v>
      </c>
      <c r="L217">
        <f t="shared" si="33"/>
        <v>5</v>
      </c>
      <c r="M217">
        <f t="shared" si="34"/>
        <v>1</v>
      </c>
      <c r="N217">
        <v>5</v>
      </c>
      <c r="O217">
        <v>30.46</v>
      </c>
      <c r="P217">
        <v>2</v>
      </c>
      <c r="Q217" s="5">
        <f t="shared" si="35"/>
        <v>6.5659881812212731E-2</v>
      </c>
      <c r="R217" s="5">
        <f t="shared" si="36"/>
        <v>0.1583545797611704</v>
      </c>
      <c r="S217" s="10">
        <f t="shared" si="37"/>
        <v>3.2142280427740766</v>
      </c>
      <c r="T217" s="12">
        <f t="shared" si="38"/>
        <v>4.8234804995252505</v>
      </c>
      <c r="U217" s="10">
        <f t="shared" si="39"/>
        <v>4.0188542711496638</v>
      </c>
    </row>
    <row r="218" spans="1:21" x14ac:dyDescent="0.2">
      <c r="A218" t="s">
        <v>11</v>
      </c>
      <c r="B218" t="s">
        <v>8</v>
      </c>
      <c r="C218" t="s">
        <v>9</v>
      </c>
      <c r="D218" t="s">
        <v>10</v>
      </c>
      <c r="E218">
        <v>2</v>
      </c>
      <c r="F218">
        <v>22.23</v>
      </c>
      <c r="G218">
        <v>5</v>
      </c>
      <c r="H218" s="5">
        <f t="shared" si="30"/>
        <v>0.22492127755285649</v>
      </c>
      <c r="J218" s="11">
        <f t="shared" si="31"/>
        <v>0</v>
      </c>
      <c r="K218">
        <f t="shared" si="32"/>
        <v>0</v>
      </c>
      <c r="L218">
        <f t="shared" si="33"/>
        <v>7</v>
      </c>
      <c r="M218">
        <f t="shared" si="34"/>
        <v>1</v>
      </c>
      <c r="N218">
        <v>3</v>
      </c>
      <c r="O218">
        <v>31.27</v>
      </c>
      <c r="P218">
        <v>5</v>
      </c>
      <c r="Q218" s="5">
        <f t="shared" si="35"/>
        <v>0.1598976654940838</v>
      </c>
      <c r="R218" s="5">
        <f t="shared" si="36"/>
        <v>0.15911018781030864</v>
      </c>
      <c r="S218" s="10">
        <f t="shared" si="37"/>
        <v>3.0043163729662368</v>
      </c>
      <c r="T218" s="12">
        <f t="shared" si="38"/>
        <v>4.9753755728283515</v>
      </c>
      <c r="U218" s="10">
        <f t="shared" si="39"/>
        <v>3.9898459728972941</v>
      </c>
    </row>
    <row r="219" spans="1:21" x14ac:dyDescent="0.2">
      <c r="A219" t="s">
        <v>7</v>
      </c>
      <c r="B219" t="s">
        <v>22</v>
      </c>
      <c r="C219" t="s">
        <v>21</v>
      </c>
      <c r="D219" t="s">
        <v>10</v>
      </c>
      <c r="E219">
        <v>2</v>
      </c>
      <c r="F219">
        <v>25.28</v>
      </c>
      <c r="G219">
        <v>5</v>
      </c>
      <c r="H219" s="5">
        <f t="shared" si="30"/>
        <v>0.19778481012658228</v>
      </c>
      <c r="J219" s="11">
        <f t="shared" si="31"/>
        <v>1</v>
      </c>
      <c r="K219">
        <f t="shared" si="32"/>
        <v>1</v>
      </c>
      <c r="L219">
        <f t="shared" si="33"/>
        <v>6</v>
      </c>
      <c r="M219">
        <f t="shared" si="34"/>
        <v>1</v>
      </c>
      <c r="N219">
        <v>4</v>
      </c>
      <c r="O219">
        <v>31.71</v>
      </c>
      <c r="P219">
        <v>4.5</v>
      </c>
      <c r="Q219" s="5">
        <f t="shared" si="35"/>
        <v>0.14191106906338694</v>
      </c>
      <c r="R219" s="5">
        <f t="shared" si="36"/>
        <v>0.15766105850537432</v>
      </c>
      <c r="S219" s="10">
        <f t="shared" si="37"/>
        <v>2.9040479096820868</v>
      </c>
      <c r="T219" s="12">
        <f t="shared" si="38"/>
        <v>4.9994321652054197</v>
      </c>
      <c r="U219" s="10">
        <f t="shared" si="39"/>
        <v>3.951740037443753</v>
      </c>
    </row>
    <row r="220" spans="1:21" x14ac:dyDescent="0.2">
      <c r="A220" t="s">
        <v>11</v>
      </c>
      <c r="B220" t="s">
        <v>22</v>
      </c>
      <c r="C220" t="s">
        <v>23</v>
      </c>
      <c r="D220" t="s">
        <v>24</v>
      </c>
      <c r="E220">
        <v>2</v>
      </c>
      <c r="F220">
        <v>32.68</v>
      </c>
      <c r="G220">
        <v>5</v>
      </c>
      <c r="H220" s="5">
        <f t="shared" si="30"/>
        <v>0.15299877600979192</v>
      </c>
      <c r="J220" s="11">
        <f t="shared" si="31"/>
        <v>0</v>
      </c>
      <c r="K220">
        <f t="shared" si="32"/>
        <v>1</v>
      </c>
      <c r="L220">
        <f t="shared" si="33"/>
        <v>4</v>
      </c>
      <c r="M220">
        <f t="shared" si="34"/>
        <v>0</v>
      </c>
      <c r="N220">
        <v>2</v>
      </c>
      <c r="O220">
        <v>31.85</v>
      </c>
      <c r="P220">
        <v>3.18</v>
      </c>
      <c r="Q220" s="5">
        <f t="shared" si="35"/>
        <v>9.9843014128728411E-2</v>
      </c>
      <c r="R220" s="5">
        <f t="shared" si="36"/>
        <v>0.16239386910103129</v>
      </c>
      <c r="S220" s="10">
        <f t="shared" si="37"/>
        <v>2.836035010463859</v>
      </c>
      <c r="T220" s="12">
        <f t="shared" si="38"/>
        <v>5.1722447308678472</v>
      </c>
      <c r="U220" s="10">
        <f t="shared" si="39"/>
        <v>4.0041398706658526</v>
      </c>
    </row>
    <row r="221" spans="1:21" x14ac:dyDescent="0.2">
      <c r="A221" t="s">
        <v>11</v>
      </c>
      <c r="B221" t="s">
        <v>8</v>
      </c>
      <c r="C221" t="s">
        <v>21</v>
      </c>
      <c r="D221" t="s">
        <v>10</v>
      </c>
      <c r="E221">
        <v>3</v>
      </c>
      <c r="F221">
        <v>31.27</v>
      </c>
      <c r="G221">
        <v>5</v>
      </c>
      <c r="H221" s="5">
        <f t="shared" si="30"/>
        <v>0.1598976654940838</v>
      </c>
      <c r="J221" s="11">
        <f t="shared" si="31"/>
        <v>0</v>
      </c>
      <c r="K221">
        <f t="shared" si="32"/>
        <v>0</v>
      </c>
      <c r="L221">
        <f t="shared" si="33"/>
        <v>6</v>
      </c>
      <c r="M221">
        <f t="shared" si="34"/>
        <v>1</v>
      </c>
      <c r="N221">
        <v>4</v>
      </c>
      <c r="O221">
        <v>32.4</v>
      </c>
      <c r="P221">
        <v>6</v>
      </c>
      <c r="Q221" s="5">
        <f t="shared" si="35"/>
        <v>0.1851851851851852</v>
      </c>
      <c r="R221" s="5">
        <f t="shared" si="36"/>
        <v>0.15511950414891634</v>
      </c>
      <c r="S221" s="10">
        <f t="shared" si="37"/>
        <v>3.1140807873177652</v>
      </c>
      <c r="T221" s="12">
        <f t="shared" si="38"/>
        <v>5.025871934424889</v>
      </c>
      <c r="U221" s="10">
        <f t="shared" si="39"/>
        <v>4.0699763608713271</v>
      </c>
    </row>
    <row r="222" spans="1:21" x14ac:dyDescent="0.2">
      <c r="A222" t="s">
        <v>7</v>
      </c>
      <c r="B222" t="s">
        <v>8</v>
      </c>
      <c r="C222" t="s">
        <v>9</v>
      </c>
      <c r="D222" t="s">
        <v>10</v>
      </c>
      <c r="E222">
        <v>4</v>
      </c>
      <c r="F222">
        <v>35.26</v>
      </c>
      <c r="G222">
        <v>5</v>
      </c>
      <c r="H222" s="5">
        <f t="shared" si="30"/>
        <v>0.14180374361883155</v>
      </c>
      <c r="J222" s="11">
        <f t="shared" si="31"/>
        <v>1</v>
      </c>
      <c r="K222">
        <f t="shared" si="32"/>
        <v>0</v>
      </c>
      <c r="L222">
        <f t="shared" si="33"/>
        <v>7</v>
      </c>
      <c r="M222">
        <f t="shared" si="34"/>
        <v>1</v>
      </c>
      <c r="N222">
        <v>2</v>
      </c>
      <c r="O222">
        <v>32.68</v>
      </c>
      <c r="P222">
        <v>5</v>
      </c>
      <c r="Q222" s="5">
        <f t="shared" si="35"/>
        <v>0.15299877600979192</v>
      </c>
      <c r="R222" s="5">
        <f t="shared" si="36"/>
        <v>0.16359069307477619</v>
      </c>
      <c r="S222" s="10">
        <f t="shared" si="37"/>
        <v>3.2637020038792115</v>
      </c>
      <c r="T222" s="12">
        <f t="shared" si="38"/>
        <v>5.3461438496836857</v>
      </c>
      <c r="U222" s="10">
        <f t="shared" si="39"/>
        <v>4.3049229267814484</v>
      </c>
    </row>
    <row r="223" spans="1:21" x14ac:dyDescent="0.2">
      <c r="A223" t="s">
        <v>7</v>
      </c>
      <c r="B223" t="s">
        <v>22</v>
      </c>
      <c r="C223" t="s">
        <v>23</v>
      </c>
      <c r="D223" t="s">
        <v>24</v>
      </c>
      <c r="E223">
        <v>4</v>
      </c>
      <c r="F223">
        <v>43.11</v>
      </c>
      <c r="G223">
        <v>5</v>
      </c>
      <c r="H223" s="5">
        <f t="shared" si="30"/>
        <v>0.11598237067965669</v>
      </c>
      <c r="J223" s="11">
        <f t="shared" si="31"/>
        <v>1</v>
      </c>
      <c r="K223">
        <f t="shared" si="32"/>
        <v>1</v>
      </c>
      <c r="L223">
        <f t="shared" si="33"/>
        <v>4</v>
      </c>
      <c r="M223">
        <f t="shared" si="34"/>
        <v>0</v>
      </c>
      <c r="N223">
        <v>2</v>
      </c>
      <c r="O223">
        <v>32.83</v>
      </c>
      <c r="P223">
        <v>1.17</v>
      </c>
      <c r="Q223" s="5">
        <f t="shared" si="35"/>
        <v>3.5638135851355467E-2</v>
      </c>
      <c r="R223" s="5">
        <f t="shared" si="36"/>
        <v>0.16416190696595673</v>
      </c>
      <c r="S223" s="10">
        <f t="shared" si="37"/>
        <v>3.0954206413768341</v>
      </c>
      <c r="T223" s="12">
        <f t="shared" si="38"/>
        <v>5.3894354056923595</v>
      </c>
      <c r="U223" s="10">
        <f t="shared" si="39"/>
        <v>4.2424280235345968</v>
      </c>
    </row>
    <row r="224" spans="1:21" x14ac:dyDescent="0.2">
      <c r="A224" t="s">
        <v>11</v>
      </c>
      <c r="B224" t="s">
        <v>8</v>
      </c>
      <c r="C224" t="s">
        <v>23</v>
      </c>
      <c r="D224" t="s">
        <v>24</v>
      </c>
      <c r="E224">
        <v>5</v>
      </c>
      <c r="F224">
        <v>41.19</v>
      </c>
      <c r="G224">
        <v>5</v>
      </c>
      <c r="H224" s="5">
        <f t="shared" si="30"/>
        <v>0.12138868657441128</v>
      </c>
      <c r="J224" s="11">
        <f t="shared" si="31"/>
        <v>0</v>
      </c>
      <c r="K224">
        <f t="shared" si="32"/>
        <v>0</v>
      </c>
      <c r="L224">
        <f t="shared" si="33"/>
        <v>4</v>
      </c>
      <c r="M224">
        <f t="shared" si="34"/>
        <v>0</v>
      </c>
      <c r="N224">
        <v>2</v>
      </c>
      <c r="O224">
        <v>32.9</v>
      </c>
      <c r="P224">
        <v>3.11</v>
      </c>
      <c r="Q224" s="5">
        <f t="shared" si="35"/>
        <v>9.4528875379939203E-2</v>
      </c>
      <c r="R224" s="5">
        <f t="shared" si="36"/>
        <v>0.16162035260949875</v>
      </c>
      <c r="S224" s="10">
        <f t="shared" si="37"/>
        <v>3.1218023974456024</v>
      </c>
      <c r="T224" s="12">
        <f t="shared" si="38"/>
        <v>5.3173096008525089</v>
      </c>
      <c r="U224" s="10">
        <f t="shared" si="39"/>
        <v>4.2195559991490557</v>
      </c>
    </row>
    <row r="225" spans="1:21" x14ac:dyDescent="0.2">
      <c r="A225" t="s">
        <v>11</v>
      </c>
      <c r="B225" t="s">
        <v>8</v>
      </c>
      <c r="C225" t="s">
        <v>9</v>
      </c>
      <c r="D225" t="s">
        <v>10</v>
      </c>
      <c r="E225">
        <v>5</v>
      </c>
      <c r="F225">
        <v>20.69</v>
      </c>
      <c r="G225">
        <v>5</v>
      </c>
      <c r="H225" s="5">
        <f t="shared" si="30"/>
        <v>0.24166263895601739</v>
      </c>
      <c r="J225" s="11">
        <f t="shared" si="31"/>
        <v>0</v>
      </c>
      <c r="K225">
        <f t="shared" si="32"/>
        <v>0</v>
      </c>
      <c r="L225">
        <f t="shared" si="33"/>
        <v>7</v>
      </c>
      <c r="M225">
        <f t="shared" si="34"/>
        <v>1</v>
      </c>
      <c r="N225">
        <v>6</v>
      </c>
      <c r="O225">
        <v>34.299999999999997</v>
      </c>
      <c r="P225">
        <v>6.7</v>
      </c>
      <c r="Q225" s="5">
        <f t="shared" si="35"/>
        <v>0.19533527696793004</v>
      </c>
      <c r="R225" s="5">
        <f t="shared" si="36"/>
        <v>0.15992465700694172</v>
      </c>
      <c r="S225" s="10">
        <f t="shared" si="37"/>
        <v>3.2934548345046983</v>
      </c>
      <c r="T225" s="12">
        <f t="shared" si="38"/>
        <v>5.4854157353381003</v>
      </c>
      <c r="U225" s="10">
        <f t="shared" si="39"/>
        <v>4.3894352849213991</v>
      </c>
    </row>
    <row r="226" spans="1:21" x14ac:dyDescent="0.2">
      <c r="A226" t="s">
        <v>7</v>
      </c>
      <c r="B226" t="s">
        <v>8</v>
      </c>
      <c r="C226" t="s">
        <v>23</v>
      </c>
      <c r="D226" t="s">
        <v>24</v>
      </c>
      <c r="E226">
        <v>6</v>
      </c>
      <c r="F226">
        <v>27.05</v>
      </c>
      <c r="G226">
        <v>5</v>
      </c>
      <c r="H226" s="5">
        <f t="shared" si="30"/>
        <v>0.18484288354898337</v>
      </c>
      <c r="J226" s="11">
        <f t="shared" si="31"/>
        <v>1</v>
      </c>
      <c r="K226">
        <f t="shared" si="32"/>
        <v>0</v>
      </c>
      <c r="L226">
        <f t="shared" si="33"/>
        <v>4</v>
      </c>
      <c r="M226">
        <f t="shared" si="34"/>
        <v>0</v>
      </c>
      <c r="N226">
        <v>2</v>
      </c>
      <c r="O226">
        <v>34.630000000000003</v>
      </c>
      <c r="P226">
        <v>3.55</v>
      </c>
      <c r="Q226" s="5">
        <f t="shared" si="35"/>
        <v>0.102512272596015</v>
      </c>
      <c r="R226" s="5">
        <f t="shared" si="36"/>
        <v>0.16338839047442422</v>
      </c>
      <c r="S226" s="10">
        <f t="shared" si="37"/>
        <v>3.3099684857390343</v>
      </c>
      <c r="T226" s="12">
        <f t="shared" si="38"/>
        <v>5.6581399621293107</v>
      </c>
      <c r="U226" s="10">
        <f t="shared" si="39"/>
        <v>4.484054223934173</v>
      </c>
    </row>
    <row r="227" spans="1:21" x14ac:dyDescent="0.2">
      <c r="A227" t="s">
        <v>11</v>
      </c>
      <c r="B227" t="s">
        <v>8</v>
      </c>
      <c r="C227" t="s">
        <v>9</v>
      </c>
      <c r="D227" t="s">
        <v>10</v>
      </c>
      <c r="E227">
        <v>6</v>
      </c>
      <c r="F227">
        <v>48.17</v>
      </c>
      <c r="G227">
        <v>5</v>
      </c>
      <c r="H227" s="5">
        <f t="shared" si="30"/>
        <v>0.10379904504878555</v>
      </c>
      <c r="J227" s="11">
        <f t="shared" si="31"/>
        <v>0</v>
      </c>
      <c r="K227">
        <f t="shared" si="32"/>
        <v>0</v>
      </c>
      <c r="L227">
        <f t="shared" si="33"/>
        <v>7</v>
      </c>
      <c r="M227">
        <f t="shared" si="34"/>
        <v>1</v>
      </c>
      <c r="N227">
        <v>4</v>
      </c>
      <c r="O227">
        <v>34.65</v>
      </c>
      <c r="P227">
        <v>3.68</v>
      </c>
      <c r="Q227" s="5">
        <f t="shared" si="35"/>
        <v>0.10620490620490622</v>
      </c>
      <c r="R227" s="5">
        <f t="shared" si="36"/>
        <v>0.15786861814158762</v>
      </c>
      <c r="S227" s="10">
        <f t="shared" si="37"/>
        <v>3.5328548345046982</v>
      </c>
      <c r="T227" s="12">
        <f t="shared" si="38"/>
        <v>5.4701476186060107</v>
      </c>
      <c r="U227" s="10">
        <f t="shared" si="39"/>
        <v>4.5015012265553542</v>
      </c>
    </row>
    <row r="228" spans="1:21" x14ac:dyDescent="0.2">
      <c r="A228" t="s">
        <v>11</v>
      </c>
      <c r="B228" t="s">
        <v>8</v>
      </c>
      <c r="C228" t="s">
        <v>9</v>
      </c>
      <c r="D228" t="s">
        <v>10</v>
      </c>
      <c r="E228">
        <v>4</v>
      </c>
      <c r="F228">
        <v>29.93</v>
      </c>
      <c r="G228">
        <v>5.07</v>
      </c>
      <c r="H228" s="5">
        <f t="shared" si="30"/>
        <v>0.1693952555963916</v>
      </c>
      <c r="J228" s="11">
        <f t="shared" si="31"/>
        <v>0</v>
      </c>
      <c r="K228">
        <f t="shared" si="32"/>
        <v>0</v>
      </c>
      <c r="L228">
        <f t="shared" si="33"/>
        <v>7</v>
      </c>
      <c r="M228">
        <f t="shared" si="34"/>
        <v>1</v>
      </c>
      <c r="N228">
        <v>4</v>
      </c>
      <c r="O228">
        <v>34.81</v>
      </c>
      <c r="P228">
        <v>5.2</v>
      </c>
      <c r="Q228" s="5">
        <f t="shared" si="35"/>
        <v>0.14938236139040506</v>
      </c>
      <c r="R228" s="5">
        <f t="shared" si="36"/>
        <v>0.15786861814158762</v>
      </c>
      <c r="S228" s="10">
        <f t="shared" si="37"/>
        <v>3.3149359155857794</v>
      </c>
      <c r="T228" s="12">
        <f t="shared" si="38"/>
        <v>5.4954065975086657</v>
      </c>
      <c r="U228" s="10">
        <f t="shared" si="39"/>
        <v>4.4051712565472227</v>
      </c>
    </row>
    <row r="229" spans="1:21" x14ac:dyDescent="0.2">
      <c r="A229" t="s">
        <v>7</v>
      </c>
      <c r="B229" t="s">
        <v>8</v>
      </c>
      <c r="C229" t="s">
        <v>9</v>
      </c>
      <c r="D229" t="s">
        <v>10</v>
      </c>
      <c r="E229">
        <v>5</v>
      </c>
      <c r="F229">
        <v>29.85</v>
      </c>
      <c r="G229">
        <v>5.14</v>
      </c>
      <c r="H229" s="5">
        <f t="shared" si="30"/>
        <v>0.17219430485762141</v>
      </c>
      <c r="J229" s="11">
        <f t="shared" si="31"/>
        <v>1</v>
      </c>
      <c r="K229">
        <f t="shared" si="32"/>
        <v>0</v>
      </c>
      <c r="L229">
        <f t="shared" si="33"/>
        <v>7</v>
      </c>
      <c r="M229">
        <f t="shared" si="34"/>
        <v>1</v>
      </c>
      <c r="N229">
        <v>4</v>
      </c>
      <c r="O229">
        <v>34.83</v>
      </c>
      <c r="P229">
        <v>5.17</v>
      </c>
      <c r="Q229" s="5">
        <f t="shared" si="35"/>
        <v>0.14843525696238874</v>
      </c>
      <c r="R229" s="5">
        <f t="shared" si="36"/>
        <v>0.15963665600651306</v>
      </c>
      <c r="S229" s="10">
        <f t="shared" si="37"/>
        <v>3.2422209227981313</v>
      </c>
      <c r="T229" s="12">
        <f t="shared" si="38"/>
        <v>5.5601447287068497</v>
      </c>
      <c r="U229" s="10">
        <f t="shared" si="39"/>
        <v>4.4011828257524908</v>
      </c>
    </row>
    <row r="230" spans="1:21" x14ac:dyDescent="0.2">
      <c r="A230" t="s">
        <v>11</v>
      </c>
      <c r="B230" t="s">
        <v>22</v>
      </c>
      <c r="C230" t="s">
        <v>9</v>
      </c>
      <c r="D230" t="s">
        <v>10</v>
      </c>
      <c r="E230">
        <v>2</v>
      </c>
      <c r="F230">
        <v>7.25</v>
      </c>
      <c r="G230">
        <v>5.15</v>
      </c>
      <c r="H230" s="5">
        <f t="shared" si="30"/>
        <v>0.71034482758620698</v>
      </c>
      <c r="J230" s="11">
        <f t="shared" si="31"/>
        <v>0</v>
      </c>
      <c r="K230">
        <f t="shared" si="32"/>
        <v>1</v>
      </c>
      <c r="L230">
        <f t="shared" si="33"/>
        <v>7</v>
      </c>
      <c r="M230">
        <f t="shared" si="34"/>
        <v>1</v>
      </c>
      <c r="N230">
        <v>4</v>
      </c>
      <c r="O230">
        <v>35.26</v>
      </c>
      <c r="P230">
        <v>5</v>
      </c>
      <c r="Q230" s="5">
        <f t="shared" si="35"/>
        <v>0.14180374361883155</v>
      </c>
      <c r="R230" s="5">
        <f t="shared" si="36"/>
        <v>0.15864213463312013</v>
      </c>
      <c r="S230" s="10">
        <f t="shared" si="37"/>
        <v>3.0076874475229554</v>
      </c>
      <c r="T230" s="12">
        <f t="shared" si="38"/>
        <v>5.5937216671638152</v>
      </c>
      <c r="U230" s="10">
        <f t="shared" si="39"/>
        <v>4.3007045573433853</v>
      </c>
    </row>
    <row r="231" spans="1:21" x14ac:dyDescent="0.2">
      <c r="A231" t="s">
        <v>11</v>
      </c>
      <c r="B231" t="s">
        <v>22</v>
      </c>
      <c r="C231" t="s">
        <v>21</v>
      </c>
      <c r="D231" t="s">
        <v>10</v>
      </c>
      <c r="E231">
        <v>4</v>
      </c>
      <c r="F231">
        <v>25.89</v>
      </c>
      <c r="G231">
        <v>5.16</v>
      </c>
      <c r="H231" s="5">
        <f t="shared" si="30"/>
        <v>0.19930475086906141</v>
      </c>
      <c r="J231" s="11">
        <f t="shared" si="31"/>
        <v>0</v>
      </c>
      <c r="K231">
        <f t="shared" si="32"/>
        <v>1</v>
      </c>
      <c r="L231">
        <f t="shared" si="33"/>
        <v>6</v>
      </c>
      <c r="M231">
        <f t="shared" si="34"/>
        <v>1</v>
      </c>
      <c r="N231">
        <v>3</v>
      </c>
      <c r="O231">
        <v>35.83</v>
      </c>
      <c r="P231">
        <v>4.67</v>
      </c>
      <c r="Q231" s="5">
        <f t="shared" si="35"/>
        <v>0.13033770583310075</v>
      </c>
      <c r="R231" s="5">
        <f t="shared" si="36"/>
        <v>0.15713459030916987</v>
      </c>
      <c r="S231" s="10">
        <f t="shared" si="37"/>
        <v>3.2659013640081964</v>
      </c>
      <c r="T231" s="12">
        <f t="shared" si="38"/>
        <v>5.6301323707775559</v>
      </c>
      <c r="U231" s="10">
        <f t="shared" si="39"/>
        <v>4.4480168673928766</v>
      </c>
    </row>
    <row r="232" spans="1:21" x14ac:dyDescent="0.2">
      <c r="A232" t="s">
        <v>7</v>
      </c>
      <c r="B232" t="s">
        <v>8</v>
      </c>
      <c r="C232" t="s">
        <v>23</v>
      </c>
      <c r="D232" t="s">
        <v>24</v>
      </c>
      <c r="E232">
        <v>4</v>
      </c>
      <c r="F232">
        <v>34.83</v>
      </c>
      <c r="G232">
        <v>5.17</v>
      </c>
      <c r="H232" s="5">
        <f t="shared" si="30"/>
        <v>0.14843525696238874</v>
      </c>
      <c r="J232" s="11">
        <f t="shared" si="31"/>
        <v>1</v>
      </c>
      <c r="K232">
        <f t="shared" si="32"/>
        <v>0</v>
      </c>
      <c r="L232">
        <f t="shared" si="33"/>
        <v>4</v>
      </c>
      <c r="M232">
        <f t="shared" si="34"/>
        <v>0</v>
      </c>
      <c r="N232">
        <v>4</v>
      </c>
      <c r="O232">
        <v>38.01</v>
      </c>
      <c r="P232">
        <v>3</v>
      </c>
      <c r="Q232" s="5">
        <f t="shared" si="35"/>
        <v>7.8926598263614839E-2</v>
      </c>
      <c r="R232" s="5">
        <f t="shared" si="36"/>
        <v>0.15943435340616108</v>
      </c>
      <c r="S232" s="10">
        <f t="shared" si="37"/>
        <v>3.0920495668201156</v>
      </c>
      <c r="T232" s="12">
        <f t="shared" si="38"/>
        <v>6.060099772968182</v>
      </c>
      <c r="U232" s="10">
        <f t="shared" si="39"/>
        <v>4.5760746698941492</v>
      </c>
    </row>
    <row r="233" spans="1:21" x14ac:dyDescent="0.2">
      <c r="A233" t="s">
        <v>7</v>
      </c>
      <c r="B233" t="s">
        <v>8</v>
      </c>
      <c r="C233" t="s">
        <v>9</v>
      </c>
      <c r="D233" t="s">
        <v>10</v>
      </c>
      <c r="E233">
        <v>4</v>
      </c>
      <c r="F233">
        <v>34.81</v>
      </c>
      <c r="G233">
        <v>5.2</v>
      </c>
      <c r="H233" s="5">
        <f t="shared" si="30"/>
        <v>0.14938236139040506</v>
      </c>
      <c r="J233" s="11">
        <f t="shared" si="31"/>
        <v>1</v>
      </c>
      <c r="K233">
        <f t="shared" si="32"/>
        <v>0</v>
      </c>
      <c r="L233">
        <f t="shared" si="33"/>
        <v>7</v>
      </c>
      <c r="M233">
        <f t="shared" si="34"/>
        <v>1</v>
      </c>
      <c r="N233">
        <v>3</v>
      </c>
      <c r="O233">
        <v>38.07</v>
      </c>
      <c r="P233">
        <v>4</v>
      </c>
      <c r="Q233" s="5">
        <f t="shared" si="35"/>
        <v>0.10506960861570791</v>
      </c>
      <c r="R233" s="5">
        <f t="shared" si="36"/>
        <v>0.16087822567523408</v>
      </c>
      <c r="S233" s="10">
        <f t="shared" si="37"/>
        <v>3.2637020038792115</v>
      </c>
      <c r="T233" s="12">
        <f t="shared" si="38"/>
        <v>6.1246340514561615</v>
      </c>
      <c r="U233" s="10">
        <f t="shared" si="39"/>
        <v>4.6941680276676863</v>
      </c>
    </row>
    <row r="234" spans="1:21" x14ac:dyDescent="0.2">
      <c r="A234" t="s">
        <v>11</v>
      </c>
      <c r="B234" t="s">
        <v>8</v>
      </c>
      <c r="C234" t="s">
        <v>9</v>
      </c>
      <c r="D234" t="s">
        <v>10</v>
      </c>
      <c r="E234">
        <v>4</v>
      </c>
      <c r="F234">
        <v>30.4</v>
      </c>
      <c r="G234">
        <v>5.6</v>
      </c>
      <c r="H234" s="5">
        <f t="shared" si="30"/>
        <v>0.18421052631578946</v>
      </c>
      <c r="J234" s="11">
        <f t="shared" si="31"/>
        <v>0</v>
      </c>
      <c r="K234">
        <f t="shared" si="32"/>
        <v>0</v>
      </c>
      <c r="L234">
        <f t="shared" si="33"/>
        <v>7</v>
      </c>
      <c r="M234">
        <f t="shared" si="34"/>
        <v>1</v>
      </c>
      <c r="N234">
        <v>4</v>
      </c>
      <c r="O234">
        <v>38.729999999999997</v>
      </c>
      <c r="P234">
        <v>3</v>
      </c>
      <c r="Q234" s="5">
        <f t="shared" si="35"/>
        <v>7.7459333849728904E-2</v>
      </c>
      <c r="R234" s="5">
        <f t="shared" si="36"/>
        <v>0.15786861814158762</v>
      </c>
      <c r="S234" s="10">
        <f t="shared" si="37"/>
        <v>3.3149359155857794</v>
      </c>
      <c r="T234" s="12">
        <f t="shared" si="38"/>
        <v>6.1142515806236881</v>
      </c>
      <c r="U234" s="10">
        <f t="shared" si="39"/>
        <v>4.7145937481047335</v>
      </c>
    </row>
    <row r="235" spans="1:21" x14ac:dyDescent="0.2">
      <c r="A235" t="s">
        <v>11</v>
      </c>
      <c r="B235" t="s">
        <v>22</v>
      </c>
      <c r="C235" t="s">
        <v>9</v>
      </c>
      <c r="D235" t="s">
        <v>10</v>
      </c>
      <c r="E235">
        <v>2</v>
      </c>
      <c r="F235">
        <v>23.33</v>
      </c>
      <c r="G235">
        <v>5.65</v>
      </c>
      <c r="H235" s="5">
        <f t="shared" si="30"/>
        <v>0.24217745392198889</v>
      </c>
      <c r="J235" s="11">
        <f t="shared" si="31"/>
        <v>0</v>
      </c>
      <c r="K235">
        <f t="shared" si="32"/>
        <v>1</v>
      </c>
      <c r="L235">
        <f t="shared" si="33"/>
        <v>7</v>
      </c>
      <c r="M235">
        <f t="shared" si="34"/>
        <v>1</v>
      </c>
      <c r="N235">
        <v>4</v>
      </c>
      <c r="O235">
        <v>39.42</v>
      </c>
      <c r="P235">
        <v>7.58</v>
      </c>
      <c r="Q235" s="5">
        <f t="shared" si="35"/>
        <v>0.19228817858954844</v>
      </c>
      <c r="R235" s="5">
        <f t="shared" si="36"/>
        <v>0.15864213463312013</v>
      </c>
      <c r="S235" s="10">
        <f t="shared" si="37"/>
        <v>3.0076874475229554</v>
      </c>
      <c r="T235" s="12">
        <f t="shared" si="38"/>
        <v>6.2536729472375958</v>
      </c>
      <c r="U235" s="10">
        <f t="shared" si="39"/>
        <v>4.6306801973802756</v>
      </c>
    </row>
    <row r="236" spans="1:21" x14ac:dyDescent="0.2">
      <c r="A236" t="s">
        <v>11</v>
      </c>
      <c r="B236" t="s">
        <v>8</v>
      </c>
      <c r="C236" t="s">
        <v>23</v>
      </c>
      <c r="D236" t="s">
        <v>24</v>
      </c>
      <c r="E236">
        <v>2</v>
      </c>
      <c r="F236">
        <v>24.71</v>
      </c>
      <c r="G236">
        <v>5.85</v>
      </c>
      <c r="H236" s="5">
        <f t="shared" si="30"/>
        <v>0.23674625657628487</v>
      </c>
      <c r="J236" s="11">
        <f t="shared" si="31"/>
        <v>0</v>
      </c>
      <c r="K236">
        <f t="shared" si="32"/>
        <v>0</v>
      </c>
      <c r="L236">
        <f t="shared" si="33"/>
        <v>4</v>
      </c>
      <c r="M236">
        <f t="shared" si="34"/>
        <v>0</v>
      </c>
      <c r="N236">
        <v>4</v>
      </c>
      <c r="O236">
        <v>40.17</v>
      </c>
      <c r="P236">
        <v>4.7300000000000004</v>
      </c>
      <c r="Q236" s="5">
        <f t="shared" si="35"/>
        <v>0.1177495643515061</v>
      </c>
      <c r="R236" s="5">
        <f t="shared" si="36"/>
        <v>0.15766631554123561</v>
      </c>
      <c r="S236" s="10">
        <f t="shared" si="37"/>
        <v>2.8326639359071408</v>
      </c>
      <c r="T236" s="12">
        <f t="shared" si="38"/>
        <v>6.3334558952914346</v>
      </c>
      <c r="U236" s="10">
        <f t="shared" si="39"/>
        <v>4.5830599155992875</v>
      </c>
    </row>
    <row r="237" spans="1:21" x14ac:dyDescent="0.2">
      <c r="A237" t="s">
        <v>11</v>
      </c>
      <c r="B237" t="s">
        <v>8</v>
      </c>
      <c r="C237" t="s">
        <v>21</v>
      </c>
      <c r="D237" t="s">
        <v>10</v>
      </c>
      <c r="E237">
        <v>3</v>
      </c>
      <c r="F237">
        <v>29.03</v>
      </c>
      <c r="G237">
        <v>5.92</v>
      </c>
      <c r="H237" s="5">
        <f t="shared" si="30"/>
        <v>0.20392697209782981</v>
      </c>
      <c r="J237" s="11">
        <f t="shared" si="31"/>
        <v>0</v>
      </c>
      <c r="K237">
        <f t="shared" si="32"/>
        <v>0</v>
      </c>
      <c r="L237">
        <f t="shared" si="33"/>
        <v>6</v>
      </c>
      <c r="M237">
        <f t="shared" si="34"/>
        <v>1</v>
      </c>
      <c r="N237">
        <v>2</v>
      </c>
      <c r="O237">
        <v>40.549999999999997</v>
      </c>
      <c r="P237">
        <v>3</v>
      </c>
      <c r="Q237" s="5">
        <f t="shared" si="35"/>
        <v>7.3982737361282372E-2</v>
      </c>
      <c r="R237" s="5">
        <f t="shared" si="36"/>
        <v>0.15907354121717945</v>
      </c>
      <c r="S237" s="10">
        <f t="shared" si="37"/>
        <v>3.1140807873177652</v>
      </c>
      <c r="T237" s="12">
        <f t="shared" si="38"/>
        <v>6.4504320963566268</v>
      </c>
      <c r="U237" s="10">
        <f t="shared" si="39"/>
        <v>4.7822564418371964</v>
      </c>
    </row>
    <row r="238" spans="1:21" x14ac:dyDescent="0.2">
      <c r="A238" t="s">
        <v>11</v>
      </c>
      <c r="B238" t="s">
        <v>8</v>
      </c>
      <c r="C238" t="s">
        <v>9</v>
      </c>
      <c r="D238" t="s">
        <v>10</v>
      </c>
      <c r="E238">
        <v>4</v>
      </c>
      <c r="F238">
        <v>32.4</v>
      </c>
      <c r="G238">
        <v>6</v>
      </c>
      <c r="H238" s="5">
        <f t="shared" si="30"/>
        <v>0.1851851851851852</v>
      </c>
      <c r="J238" s="11">
        <f t="shared" si="31"/>
        <v>0</v>
      </c>
      <c r="K238">
        <f t="shared" si="32"/>
        <v>0</v>
      </c>
      <c r="L238">
        <f t="shared" si="33"/>
        <v>7</v>
      </c>
      <c r="M238">
        <f t="shared" si="34"/>
        <v>1</v>
      </c>
      <c r="N238">
        <v>5</v>
      </c>
      <c r="O238">
        <v>41.19</v>
      </c>
      <c r="P238">
        <v>5</v>
      </c>
      <c r="Q238" s="5">
        <f t="shared" si="35"/>
        <v>0.12138868657441128</v>
      </c>
      <c r="R238" s="5">
        <f t="shared" si="36"/>
        <v>0.156977914793169</v>
      </c>
      <c r="S238" s="10">
        <f t="shared" si="37"/>
        <v>3.3149359155857794</v>
      </c>
      <c r="T238" s="12">
        <f t="shared" si="38"/>
        <v>6.4659203103306311</v>
      </c>
      <c r="U238" s="10">
        <f t="shared" si="39"/>
        <v>4.8904281129582055</v>
      </c>
    </row>
    <row r="239" spans="1:21" x14ac:dyDescent="0.2">
      <c r="A239" t="s">
        <v>7</v>
      </c>
      <c r="B239" t="s">
        <v>22</v>
      </c>
      <c r="C239" t="s">
        <v>21</v>
      </c>
      <c r="D239" t="s">
        <v>10</v>
      </c>
      <c r="E239">
        <v>3</v>
      </c>
      <c r="F239">
        <v>28.17</v>
      </c>
      <c r="G239">
        <v>6.5</v>
      </c>
      <c r="H239" s="5">
        <f t="shared" si="30"/>
        <v>0.23074192403265883</v>
      </c>
      <c r="J239" s="11">
        <f t="shared" si="31"/>
        <v>1</v>
      </c>
      <c r="K239">
        <f t="shared" si="32"/>
        <v>1</v>
      </c>
      <c r="L239">
        <f t="shared" si="33"/>
        <v>6</v>
      </c>
      <c r="M239">
        <f t="shared" si="34"/>
        <v>1</v>
      </c>
      <c r="N239">
        <v>4</v>
      </c>
      <c r="O239">
        <v>43.11</v>
      </c>
      <c r="P239">
        <v>5</v>
      </c>
      <c r="Q239" s="5">
        <f t="shared" si="35"/>
        <v>0.11598237067965669</v>
      </c>
      <c r="R239" s="5">
        <f t="shared" si="36"/>
        <v>0.15766105850537432</v>
      </c>
      <c r="S239" s="10">
        <f t="shared" si="37"/>
        <v>3.0662179501679163</v>
      </c>
      <c r="T239" s="12">
        <f t="shared" si="38"/>
        <v>6.7967682321666869</v>
      </c>
      <c r="U239" s="10">
        <f t="shared" si="39"/>
        <v>4.9314930911673018</v>
      </c>
    </row>
    <row r="240" spans="1:21" x14ac:dyDescent="0.2">
      <c r="A240" t="s">
        <v>11</v>
      </c>
      <c r="B240" t="s">
        <v>22</v>
      </c>
      <c r="C240" t="s">
        <v>9</v>
      </c>
      <c r="D240" t="s">
        <v>10</v>
      </c>
      <c r="E240">
        <v>4</v>
      </c>
      <c r="F240">
        <v>23.17</v>
      </c>
      <c r="G240">
        <v>6.5</v>
      </c>
      <c r="H240" s="5">
        <f t="shared" si="30"/>
        <v>0.28053517479499351</v>
      </c>
      <c r="J240" s="11">
        <f t="shared" si="31"/>
        <v>0</v>
      </c>
      <c r="K240">
        <f t="shared" si="32"/>
        <v>1</v>
      </c>
      <c r="L240">
        <f t="shared" si="33"/>
        <v>7</v>
      </c>
      <c r="M240">
        <f t="shared" si="34"/>
        <v>1</v>
      </c>
      <c r="N240">
        <v>3</v>
      </c>
      <c r="O240">
        <v>44.3</v>
      </c>
      <c r="P240">
        <v>2.5</v>
      </c>
      <c r="Q240" s="5">
        <f t="shared" si="35"/>
        <v>5.6433408577878111E-2</v>
      </c>
      <c r="R240" s="5">
        <f t="shared" si="36"/>
        <v>0.15988370430184115</v>
      </c>
      <c r="S240" s="10">
        <f t="shared" si="37"/>
        <v>3.318306990142498</v>
      </c>
      <c r="T240" s="12">
        <f t="shared" si="38"/>
        <v>7.0828481005715629</v>
      </c>
      <c r="U240" s="10">
        <f t="shared" si="39"/>
        <v>5.2005775453570307</v>
      </c>
    </row>
    <row r="241" spans="1:21" x14ac:dyDescent="0.2">
      <c r="A241" t="s">
        <v>11</v>
      </c>
      <c r="B241" t="s">
        <v>8</v>
      </c>
      <c r="C241" t="s">
        <v>23</v>
      </c>
      <c r="D241" t="s">
        <v>24</v>
      </c>
      <c r="E241">
        <v>6</v>
      </c>
      <c r="F241">
        <v>34.299999999999997</v>
      </c>
      <c r="G241">
        <v>6.7</v>
      </c>
      <c r="H241" s="5">
        <f t="shared" si="30"/>
        <v>0.19533527696793004</v>
      </c>
      <c r="J241" s="11">
        <f t="shared" si="31"/>
        <v>0</v>
      </c>
      <c r="K241">
        <f t="shared" si="32"/>
        <v>0</v>
      </c>
      <c r="L241">
        <f t="shared" si="33"/>
        <v>4</v>
      </c>
      <c r="M241">
        <f t="shared" si="34"/>
        <v>0</v>
      </c>
      <c r="N241">
        <v>3</v>
      </c>
      <c r="O241">
        <v>45.35</v>
      </c>
      <c r="P241">
        <v>3.5</v>
      </c>
      <c r="Q241" s="5">
        <f t="shared" si="35"/>
        <v>7.7177508269018744E-2</v>
      </c>
      <c r="R241" s="5">
        <f t="shared" si="36"/>
        <v>0.15890788520995663</v>
      </c>
      <c r="S241" s="10">
        <f t="shared" si="37"/>
        <v>3.3612023974456022</v>
      </c>
      <c r="T241" s="12">
        <f t="shared" si="38"/>
        <v>7.206472594271534</v>
      </c>
      <c r="U241" s="10">
        <f t="shared" si="39"/>
        <v>5.2838374958585685</v>
      </c>
    </row>
    <row r="242" spans="1:21" x14ac:dyDescent="0.2">
      <c r="A242" t="s">
        <v>11</v>
      </c>
      <c r="B242" t="s">
        <v>8</v>
      </c>
      <c r="C242" t="s">
        <v>21</v>
      </c>
      <c r="D242" t="s">
        <v>10</v>
      </c>
      <c r="E242">
        <v>4</v>
      </c>
      <c r="F242">
        <v>48.27</v>
      </c>
      <c r="G242">
        <v>6.73</v>
      </c>
      <c r="H242" s="5">
        <f t="shared" si="30"/>
        <v>0.13942407292314066</v>
      </c>
      <c r="J242" s="11">
        <f t="shared" si="31"/>
        <v>0</v>
      </c>
      <c r="K242">
        <f t="shared" si="32"/>
        <v>0</v>
      </c>
      <c r="L242">
        <f t="shared" si="33"/>
        <v>6</v>
      </c>
      <c r="M242">
        <f t="shared" si="34"/>
        <v>1</v>
      </c>
      <c r="N242">
        <v>6</v>
      </c>
      <c r="O242">
        <v>48.17</v>
      </c>
      <c r="P242">
        <v>5</v>
      </c>
      <c r="Q242" s="5">
        <f t="shared" si="35"/>
        <v>0.10379904504878555</v>
      </c>
      <c r="R242" s="5">
        <f t="shared" si="36"/>
        <v>0.15717554301427045</v>
      </c>
      <c r="S242" s="10">
        <f t="shared" si="37"/>
        <v>3.2625302894514783</v>
      </c>
      <c r="T242" s="12">
        <f t="shared" si="38"/>
        <v>7.5711459069974074</v>
      </c>
      <c r="U242" s="10">
        <f t="shared" si="39"/>
        <v>5.4168380982244431</v>
      </c>
    </row>
    <row r="243" spans="1:21" x14ac:dyDescent="0.2">
      <c r="A243" t="s">
        <v>11</v>
      </c>
      <c r="B243" t="s">
        <v>8</v>
      </c>
      <c r="C243" t="s">
        <v>21</v>
      </c>
      <c r="D243" t="s">
        <v>10</v>
      </c>
      <c r="E243">
        <v>4</v>
      </c>
      <c r="F243">
        <v>39.42</v>
      </c>
      <c r="G243">
        <v>7.58</v>
      </c>
      <c r="H243" s="5">
        <f t="shared" si="30"/>
        <v>0.19228817858954844</v>
      </c>
      <c r="J243" s="11">
        <f t="shared" si="31"/>
        <v>0</v>
      </c>
      <c r="K243">
        <f t="shared" si="32"/>
        <v>0</v>
      </c>
      <c r="L243">
        <f t="shared" si="33"/>
        <v>6</v>
      </c>
      <c r="M243">
        <f t="shared" si="34"/>
        <v>1</v>
      </c>
      <c r="N243">
        <v>4</v>
      </c>
      <c r="O243">
        <v>48.27</v>
      </c>
      <c r="P243">
        <v>6.73</v>
      </c>
      <c r="Q243" s="5">
        <f t="shared" si="35"/>
        <v>0.13942407292314066</v>
      </c>
      <c r="R243" s="5">
        <f t="shared" si="36"/>
        <v>0.15511950414891634</v>
      </c>
      <c r="S243" s="10">
        <f t="shared" si="37"/>
        <v>3.2625302894514783</v>
      </c>
      <c r="T243" s="12">
        <f t="shared" si="38"/>
        <v>7.4876184652681923</v>
      </c>
      <c r="U243" s="10">
        <f t="shared" si="39"/>
        <v>5.3750743773598355</v>
      </c>
    </row>
    <row r="244" spans="1:21" x14ac:dyDescent="0.2">
      <c r="A244" t="s">
        <v>11</v>
      </c>
      <c r="B244" t="s">
        <v>8</v>
      </c>
      <c r="C244" t="s">
        <v>21</v>
      </c>
      <c r="D244" t="s">
        <v>10</v>
      </c>
      <c r="E244">
        <v>4</v>
      </c>
      <c r="F244">
        <v>48.33</v>
      </c>
      <c r="G244">
        <v>9</v>
      </c>
      <c r="H244" s="5">
        <f t="shared" si="30"/>
        <v>0.18621973929236499</v>
      </c>
      <c r="J244" s="11">
        <f t="shared" si="31"/>
        <v>0</v>
      </c>
      <c r="K244">
        <f t="shared" si="32"/>
        <v>0</v>
      </c>
      <c r="L244">
        <f t="shared" si="33"/>
        <v>6</v>
      </c>
      <c r="M244">
        <f t="shared" si="34"/>
        <v>1</v>
      </c>
      <c r="N244">
        <v>4</v>
      </c>
      <c r="O244">
        <v>48.33</v>
      </c>
      <c r="P244">
        <v>9</v>
      </c>
      <c r="Q244" s="5">
        <f t="shared" si="35"/>
        <v>0.18621973929236499</v>
      </c>
      <c r="R244" s="5">
        <f t="shared" si="36"/>
        <v>0.15511950414891634</v>
      </c>
      <c r="S244" s="10">
        <f t="shared" si="37"/>
        <v>3.2625302894514783</v>
      </c>
      <c r="T244" s="12">
        <f t="shared" si="38"/>
        <v>7.496925635517127</v>
      </c>
      <c r="U244" s="10">
        <f t="shared" si="39"/>
        <v>5.3797279624843029</v>
      </c>
    </row>
    <row r="245" spans="1:21" x14ac:dyDescent="0.2">
      <c r="A245" t="s">
        <v>11</v>
      </c>
      <c r="B245" t="s">
        <v>22</v>
      </c>
      <c r="C245" t="s">
        <v>21</v>
      </c>
      <c r="D245" t="s">
        <v>10</v>
      </c>
      <c r="E245">
        <v>3</v>
      </c>
      <c r="F245">
        <v>50.81</v>
      </c>
      <c r="G245">
        <v>10</v>
      </c>
      <c r="H245" s="5">
        <f t="shared" si="30"/>
        <v>0.19681165124975397</v>
      </c>
      <c r="J245" s="13">
        <f t="shared" si="31"/>
        <v>0</v>
      </c>
      <c r="K245" s="14">
        <f t="shared" si="32"/>
        <v>1</v>
      </c>
      <c r="L245" s="14">
        <f t="shared" si="33"/>
        <v>6</v>
      </c>
      <c r="M245" s="14">
        <f t="shared" si="34"/>
        <v>1</v>
      </c>
      <c r="N245" s="14">
        <v>3</v>
      </c>
      <c r="O245" s="14">
        <v>50.81</v>
      </c>
      <c r="P245" s="14">
        <v>10</v>
      </c>
      <c r="Q245" s="15">
        <f t="shared" si="35"/>
        <v>0.19681165124975397</v>
      </c>
      <c r="R245" s="15">
        <f t="shared" si="36"/>
        <v>0.15713459030916987</v>
      </c>
      <c r="S245" s="10">
        <f t="shared" si="37"/>
        <v>3.1174518618744838</v>
      </c>
      <c r="T245" s="12">
        <f t="shared" si="38"/>
        <v>7.9840085336089217</v>
      </c>
      <c r="U245" s="10">
        <f t="shared" si="39"/>
        <v>5.5507301977417027</v>
      </c>
    </row>
  </sheetData>
  <sortState xmlns:xlrd2="http://schemas.microsoft.com/office/spreadsheetml/2017/richdata2" ref="J2:T245">
    <sortCondition ref="O2:O245"/>
  </sortState>
  <pageMargins left="0.7" right="0.7" top="0.75" bottom="0.75" header="0.3" footer="0.3"/>
  <drawing r:id="rId6"/>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Sheet2</vt:lpstr>
      <vt:lpstr>tips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Balaji Venkateswaran</dc:creator>
  <cp:keywords/>
  <dc:description/>
  <cp:lastModifiedBy>Genesis Maravillas</cp:lastModifiedBy>
  <cp:revision/>
  <dcterms:created xsi:type="dcterms:W3CDTF">2021-10-26T16:10:41Z</dcterms:created>
  <dcterms:modified xsi:type="dcterms:W3CDTF">2026-06-10T18:39:41Z</dcterms:modified>
  <cp:category/>
  <cp:contentStatus/>
</cp:coreProperties>
</file>