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nesismaravillas/Downloads/"/>
    </mc:Choice>
  </mc:AlternateContent>
  <xr:revisionPtr revIDLastSave="0" documentId="13_ncr:1_{98A91A3B-CF9B-0A4E-B3D3-7EAA61B2CBE5}" xr6:coauthVersionLast="47" xr6:coauthVersionMax="47" xr10:uidLastSave="{00000000-0000-0000-0000-000000000000}"/>
  <bookViews>
    <workbookView xWindow="0" yWindow="500" windowWidth="28800" windowHeight="17500" activeTab="1" xr2:uid="{E39F1B53-3127-4D6C-88BD-079CCE5E8692}"/>
  </bookViews>
  <sheets>
    <sheet name="Sheet2" sheetId="3" r:id="rId1"/>
    <sheet name="tips" sheetId="1" r:id="rId2"/>
  </sheets>
  <calcPr calcId="191028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" i="1"/>
  <c r="X19" i="1"/>
  <c r="X18" i="1"/>
  <c r="Q245" i="1"/>
  <c r="Q244" i="1"/>
  <c r="Q235" i="1"/>
  <c r="Q243" i="1"/>
  <c r="Q225" i="1"/>
  <c r="Q206" i="1"/>
  <c r="Q178" i="1"/>
  <c r="Q221" i="1"/>
  <c r="Q210" i="1"/>
  <c r="Q189" i="1"/>
  <c r="Q179" i="1"/>
  <c r="Q216" i="1"/>
  <c r="Q228" i="1"/>
  <c r="Q229" i="1"/>
  <c r="Q196" i="1"/>
  <c r="Q4" i="1"/>
  <c r="Q212" i="1"/>
  <c r="Q213" i="1"/>
  <c r="Q239" i="1"/>
  <c r="Q159" i="1"/>
  <c r="Q242" i="1"/>
  <c r="Q201" i="1"/>
  <c r="Q238" i="1"/>
  <c r="Q222" i="1"/>
  <c r="Q192" i="1"/>
  <c r="Q170" i="1"/>
  <c r="Q218" i="1"/>
  <c r="Q230" i="1"/>
  <c r="Q236" i="1"/>
  <c r="Q193" i="1"/>
  <c r="Q231" i="1"/>
  <c r="Q219" i="1"/>
  <c r="Q194" i="1"/>
  <c r="Q103" i="1"/>
  <c r="Q168" i="1"/>
  <c r="Q191" i="1"/>
  <c r="Q211" i="1"/>
  <c r="Q147" i="1"/>
  <c r="Q162" i="1"/>
  <c r="Q127" i="1"/>
  <c r="Q155" i="1"/>
  <c r="Q156" i="1"/>
  <c r="Q140" i="1"/>
  <c r="Q109" i="1"/>
  <c r="Q177" i="1"/>
  <c r="Q15" i="1"/>
  <c r="Q111" i="1"/>
  <c r="Q195" i="1"/>
  <c r="Q233" i="1"/>
  <c r="Q76" i="1"/>
  <c r="Q204" i="1"/>
  <c r="Q133" i="1"/>
  <c r="Q203" i="1"/>
  <c r="Q167" i="1"/>
  <c r="Q131" i="1"/>
  <c r="Q135" i="1"/>
  <c r="Q190" i="1"/>
  <c r="Q101" i="1"/>
  <c r="Q227" i="1"/>
  <c r="Q188" i="1"/>
  <c r="Q183" i="1"/>
  <c r="Q226" i="1"/>
  <c r="Q144" i="1"/>
  <c r="Q130" i="1"/>
  <c r="Q161" i="1"/>
  <c r="Q241" i="1"/>
  <c r="Q166" i="1"/>
  <c r="Q120" i="1"/>
  <c r="Q118" i="1"/>
  <c r="Q172" i="1"/>
  <c r="Q113" i="1"/>
  <c r="Q163" i="1"/>
  <c r="Q65" i="1"/>
  <c r="Q186" i="1"/>
  <c r="Q171" i="1"/>
  <c r="Q198" i="1"/>
  <c r="Q110" i="1"/>
  <c r="Q39" i="1"/>
  <c r="Q157" i="1"/>
  <c r="Q180" i="1"/>
  <c r="Q123" i="1"/>
  <c r="Q132" i="1"/>
  <c r="Q174" i="1"/>
  <c r="Q107" i="1"/>
  <c r="Q80" i="1"/>
  <c r="Q152" i="1"/>
  <c r="Q220" i="1"/>
  <c r="Q148" i="1"/>
  <c r="Q93" i="1"/>
  <c r="Q149" i="1"/>
  <c r="Q199" i="1"/>
  <c r="Q200" i="1"/>
  <c r="Q224" i="1"/>
  <c r="Q215" i="1"/>
  <c r="Q128" i="1"/>
  <c r="Q112" i="1"/>
  <c r="Q71" i="1"/>
  <c r="Q81" i="1"/>
  <c r="Q141" i="1"/>
  <c r="Q89" i="1"/>
  <c r="Q91" i="1"/>
  <c r="Q154" i="1"/>
  <c r="Q96" i="1"/>
  <c r="Q205" i="1"/>
  <c r="Q234" i="1"/>
  <c r="Q237" i="1"/>
  <c r="Q121" i="1"/>
  <c r="Q72" i="1"/>
  <c r="Q86" i="1"/>
  <c r="Q164" i="1"/>
  <c r="Q209" i="1"/>
  <c r="Q165" i="1"/>
  <c r="Q143" i="1"/>
  <c r="Q175" i="1"/>
  <c r="Q115" i="1"/>
  <c r="Q232" i="1"/>
  <c r="Q129" i="1"/>
  <c r="Q134" i="1"/>
  <c r="Q84" i="1"/>
  <c r="Q145" i="1"/>
  <c r="Q137" i="1"/>
  <c r="Q184" i="1"/>
  <c r="Q169" i="1"/>
  <c r="Q151" i="1"/>
  <c r="Q60" i="1"/>
  <c r="Q153" i="1"/>
  <c r="Q116" i="1"/>
  <c r="Q62" i="1"/>
  <c r="Q117" i="1"/>
  <c r="Q122" i="1"/>
  <c r="Q64" i="1"/>
  <c r="Q23" i="1"/>
  <c r="Q207" i="1"/>
  <c r="Q181" i="1"/>
  <c r="Q119" i="1"/>
  <c r="Q48" i="1"/>
  <c r="Q100" i="1"/>
  <c r="Q61" i="1"/>
  <c r="Q104" i="1"/>
  <c r="Q51" i="1"/>
  <c r="Q73" i="1"/>
  <c r="Q75" i="1"/>
  <c r="Q240" i="1"/>
  <c r="Q36" i="1"/>
  <c r="Q49" i="1"/>
  <c r="Q136" i="1"/>
  <c r="Q106" i="1"/>
  <c r="Q158" i="1"/>
  <c r="Q124" i="1"/>
  <c r="Q40" i="1"/>
  <c r="Q139" i="1"/>
  <c r="Q105" i="1"/>
  <c r="Q160" i="1"/>
  <c r="Q98" i="1"/>
  <c r="Q54" i="1"/>
  <c r="Q92" i="1"/>
  <c r="Q44" i="1"/>
  <c r="Q79" i="1"/>
  <c r="Q176" i="1"/>
  <c r="Q82" i="1"/>
  <c r="Q208" i="1"/>
  <c r="Q185" i="1"/>
  <c r="Q95" i="1"/>
  <c r="Q88" i="1"/>
  <c r="Q53" i="1"/>
  <c r="Q150" i="1"/>
  <c r="Q173" i="1"/>
  <c r="Q202" i="1"/>
  <c r="Q182" i="1"/>
  <c r="Q21" i="1"/>
  <c r="Q214" i="1"/>
  <c r="Q57" i="1"/>
  <c r="Q68" i="1"/>
  <c r="Q56" i="1"/>
  <c r="Q27" i="1"/>
  <c r="Q217" i="1"/>
  <c r="Q77" i="1"/>
  <c r="Q126" i="1"/>
  <c r="Q30" i="1"/>
  <c r="Q70" i="1"/>
  <c r="Q99" i="1"/>
  <c r="Q108" i="1"/>
  <c r="Q146" i="1"/>
  <c r="Q187" i="1"/>
  <c r="Q59" i="1"/>
  <c r="Q6" i="1"/>
  <c r="Q97" i="1"/>
  <c r="Q74" i="1"/>
  <c r="Q25" i="1"/>
  <c r="Q45" i="1"/>
  <c r="Q37" i="1"/>
  <c r="Q78" i="1"/>
  <c r="Q94" i="1"/>
  <c r="Q58" i="1"/>
  <c r="Q69" i="1"/>
  <c r="Q102" i="1"/>
  <c r="Q52" i="1"/>
  <c r="Q63" i="1"/>
  <c r="Q13" i="1"/>
  <c r="Q33" i="1"/>
  <c r="Q42" i="1"/>
  <c r="Q83" i="1"/>
  <c r="Q12" i="1"/>
  <c r="Q20" i="1"/>
  <c r="Q46" i="1"/>
  <c r="Q35" i="1"/>
  <c r="Q125" i="1"/>
  <c r="Q17" i="1"/>
  <c r="Q22" i="1"/>
  <c r="Q67" i="1"/>
  <c r="Q24" i="1"/>
  <c r="Q26" i="1"/>
  <c r="Q85" i="1"/>
  <c r="Q41" i="1"/>
  <c r="Q29" i="1"/>
  <c r="Q66" i="1"/>
  <c r="Q87" i="1"/>
  <c r="Q18" i="1"/>
  <c r="Q38" i="1"/>
  <c r="Q90" i="1"/>
  <c r="Q9" i="1"/>
  <c r="Q34" i="1"/>
  <c r="Q142" i="1"/>
  <c r="Q31" i="1"/>
  <c r="Q47" i="1"/>
  <c r="Q43" i="1"/>
  <c r="Q197" i="1"/>
  <c r="Q11" i="1"/>
  <c r="Q32" i="1"/>
  <c r="Q14" i="1"/>
  <c r="Q8" i="1"/>
  <c r="Q7" i="1"/>
  <c r="Q138" i="1"/>
  <c r="Q16" i="1"/>
  <c r="Q19" i="1"/>
  <c r="Q10" i="1"/>
  <c r="Q28" i="1"/>
  <c r="Q223" i="1"/>
  <c r="Q55" i="1"/>
  <c r="Q114" i="1"/>
  <c r="Q50" i="1"/>
  <c r="Q5" i="1"/>
  <c r="Q3" i="1"/>
  <c r="Q2" i="1"/>
  <c r="M3" i="1"/>
  <c r="M5" i="1"/>
  <c r="M50" i="1"/>
  <c r="M114" i="1"/>
  <c r="M55" i="1"/>
  <c r="M223" i="1"/>
  <c r="M28" i="1"/>
  <c r="M10" i="1"/>
  <c r="M19" i="1"/>
  <c r="M16" i="1"/>
  <c r="M138" i="1"/>
  <c r="M7" i="1"/>
  <c r="M8" i="1"/>
  <c r="M14" i="1"/>
  <c r="M32" i="1"/>
  <c r="M11" i="1"/>
  <c r="M197" i="1"/>
  <c r="M43" i="1"/>
  <c r="M47" i="1"/>
  <c r="M31" i="1"/>
  <c r="M142" i="1"/>
  <c r="M34" i="1"/>
  <c r="M9" i="1"/>
  <c r="M90" i="1"/>
  <c r="M38" i="1"/>
  <c r="M18" i="1"/>
  <c r="M87" i="1"/>
  <c r="M66" i="1"/>
  <c r="M29" i="1"/>
  <c r="M41" i="1"/>
  <c r="M85" i="1"/>
  <c r="M26" i="1"/>
  <c r="M24" i="1"/>
  <c r="M67" i="1"/>
  <c r="M22" i="1"/>
  <c r="M17" i="1"/>
  <c r="M125" i="1"/>
  <c r="M35" i="1"/>
  <c r="M46" i="1"/>
  <c r="M20" i="1"/>
  <c r="M12" i="1"/>
  <c r="M83" i="1"/>
  <c r="M42" i="1"/>
  <c r="M33" i="1"/>
  <c r="M13" i="1"/>
  <c r="M63" i="1"/>
  <c r="M52" i="1"/>
  <c r="M102" i="1"/>
  <c r="M69" i="1"/>
  <c r="M58" i="1"/>
  <c r="M94" i="1"/>
  <c r="M78" i="1"/>
  <c r="M37" i="1"/>
  <c r="M45" i="1"/>
  <c r="M25" i="1"/>
  <c r="M74" i="1"/>
  <c r="M97" i="1"/>
  <c r="M6" i="1"/>
  <c r="M59" i="1"/>
  <c r="M187" i="1"/>
  <c r="M146" i="1"/>
  <c r="M108" i="1"/>
  <c r="M99" i="1"/>
  <c r="M70" i="1"/>
  <c r="M30" i="1"/>
  <c r="M126" i="1"/>
  <c r="M77" i="1"/>
  <c r="M217" i="1"/>
  <c r="M27" i="1"/>
  <c r="M56" i="1"/>
  <c r="M68" i="1"/>
  <c r="M57" i="1"/>
  <c r="M214" i="1"/>
  <c r="M21" i="1"/>
  <c r="M182" i="1"/>
  <c r="M202" i="1"/>
  <c r="M173" i="1"/>
  <c r="M150" i="1"/>
  <c r="M53" i="1"/>
  <c r="M88" i="1"/>
  <c r="M95" i="1"/>
  <c r="M185" i="1"/>
  <c r="M208" i="1"/>
  <c r="M82" i="1"/>
  <c r="M176" i="1"/>
  <c r="M79" i="1"/>
  <c r="M44" i="1"/>
  <c r="M92" i="1"/>
  <c r="M54" i="1"/>
  <c r="M98" i="1"/>
  <c r="M160" i="1"/>
  <c r="M105" i="1"/>
  <c r="M139" i="1"/>
  <c r="M40" i="1"/>
  <c r="M124" i="1"/>
  <c r="M158" i="1"/>
  <c r="M106" i="1"/>
  <c r="M136" i="1"/>
  <c r="M49" i="1"/>
  <c r="M36" i="1"/>
  <c r="M240" i="1"/>
  <c r="M75" i="1"/>
  <c r="M73" i="1"/>
  <c r="M51" i="1"/>
  <c r="M104" i="1"/>
  <c r="M61" i="1"/>
  <c r="M100" i="1"/>
  <c r="M48" i="1"/>
  <c r="M119" i="1"/>
  <c r="M181" i="1"/>
  <c r="M207" i="1"/>
  <c r="M23" i="1"/>
  <c r="M64" i="1"/>
  <c r="M122" i="1"/>
  <c r="M117" i="1"/>
  <c r="M62" i="1"/>
  <c r="M116" i="1"/>
  <c r="M153" i="1"/>
  <c r="M60" i="1"/>
  <c r="M151" i="1"/>
  <c r="M169" i="1"/>
  <c r="M184" i="1"/>
  <c r="M137" i="1"/>
  <c r="M145" i="1"/>
  <c r="M84" i="1"/>
  <c r="M134" i="1"/>
  <c r="M129" i="1"/>
  <c r="M232" i="1"/>
  <c r="M115" i="1"/>
  <c r="M175" i="1"/>
  <c r="M143" i="1"/>
  <c r="M165" i="1"/>
  <c r="M209" i="1"/>
  <c r="M164" i="1"/>
  <c r="M86" i="1"/>
  <c r="M72" i="1"/>
  <c r="M121" i="1"/>
  <c r="M237" i="1"/>
  <c r="M234" i="1"/>
  <c r="M205" i="1"/>
  <c r="M96" i="1"/>
  <c r="M154" i="1"/>
  <c r="M91" i="1"/>
  <c r="M89" i="1"/>
  <c r="M141" i="1"/>
  <c r="M81" i="1"/>
  <c r="M71" i="1"/>
  <c r="M112" i="1"/>
  <c r="M128" i="1"/>
  <c r="M215" i="1"/>
  <c r="M224" i="1"/>
  <c r="M200" i="1"/>
  <c r="M199" i="1"/>
  <c r="M149" i="1"/>
  <c r="M93" i="1"/>
  <c r="M148" i="1"/>
  <c r="M220" i="1"/>
  <c r="M152" i="1"/>
  <c r="M80" i="1"/>
  <c r="M107" i="1"/>
  <c r="M174" i="1"/>
  <c r="M132" i="1"/>
  <c r="M123" i="1"/>
  <c r="M180" i="1"/>
  <c r="M157" i="1"/>
  <c r="M39" i="1"/>
  <c r="M110" i="1"/>
  <c r="M198" i="1"/>
  <c r="M171" i="1"/>
  <c r="M186" i="1"/>
  <c r="M65" i="1"/>
  <c r="M163" i="1"/>
  <c r="M113" i="1"/>
  <c r="M172" i="1"/>
  <c r="M118" i="1"/>
  <c r="M120" i="1"/>
  <c r="M166" i="1"/>
  <c r="M241" i="1"/>
  <c r="M161" i="1"/>
  <c r="M130" i="1"/>
  <c r="M144" i="1"/>
  <c r="M226" i="1"/>
  <c r="M183" i="1"/>
  <c r="M188" i="1"/>
  <c r="M227" i="1"/>
  <c r="M101" i="1"/>
  <c r="M190" i="1"/>
  <c r="M135" i="1"/>
  <c r="M131" i="1"/>
  <c r="M167" i="1"/>
  <c r="M203" i="1"/>
  <c r="M133" i="1"/>
  <c r="M204" i="1"/>
  <c r="M76" i="1"/>
  <c r="M233" i="1"/>
  <c r="M195" i="1"/>
  <c r="M111" i="1"/>
  <c r="M15" i="1"/>
  <c r="M177" i="1"/>
  <c r="M109" i="1"/>
  <c r="M140" i="1"/>
  <c r="M156" i="1"/>
  <c r="M155" i="1"/>
  <c r="M127" i="1"/>
  <c r="M162" i="1"/>
  <c r="M147" i="1"/>
  <c r="M211" i="1"/>
  <c r="M191" i="1"/>
  <c r="M168" i="1"/>
  <c r="M103" i="1"/>
  <c r="M194" i="1"/>
  <c r="M219" i="1"/>
  <c r="M231" i="1"/>
  <c r="M193" i="1"/>
  <c r="M236" i="1"/>
  <c r="M230" i="1"/>
  <c r="M218" i="1"/>
  <c r="M170" i="1"/>
  <c r="M192" i="1"/>
  <c r="M222" i="1"/>
  <c r="M238" i="1"/>
  <c r="M201" i="1"/>
  <c r="M242" i="1"/>
  <c r="M159" i="1"/>
  <c r="M239" i="1"/>
  <c r="M213" i="1"/>
  <c r="M212" i="1"/>
  <c r="M4" i="1"/>
  <c r="M196" i="1"/>
  <c r="M229" i="1"/>
  <c r="M228" i="1"/>
  <c r="M216" i="1"/>
  <c r="M179" i="1"/>
  <c r="M189" i="1"/>
  <c r="M210" i="1"/>
  <c r="M221" i="1"/>
  <c r="M178" i="1"/>
  <c r="M206" i="1"/>
  <c r="M225" i="1"/>
  <c r="M243" i="1"/>
  <c r="M235" i="1"/>
  <c r="M244" i="1"/>
  <c r="M245" i="1"/>
  <c r="M2" i="1"/>
  <c r="L24" i="1"/>
  <c r="L26" i="1"/>
  <c r="L87" i="1"/>
  <c r="L3" i="1"/>
  <c r="L5" i="1"/>
  <c r="L50" i="1"/>
  <c r="L114" i="1"/>
  <c r="L55" i="1"/>
  <c r="L223" i="1"/>
  <c r="L28" i="1"/>
  <c r="L10" i="1"/>
  <c r="L19" i="1"/>
  <c r="L16" i="1"/>
  <c r="L138" i="1"/>
  <c r="L7" i="1"/>
  <c r="L8" i="1"/>
  <c r="L14" i="1"/>
  <c r="L32" i="1"/>
  <c r="L11" i="1"/>
  <c r="L197" i="1"/>
  <c r="L43" i="1"/>
  <c r="L47" i="1"/>
  <c r="L31" i="1"/>
  <c r="L142" i="1"/>
  <c r="L34" i="1"/>
  <c r="L9" i="1"/>
  <c r="L90" i="1"/>
  <c r="L38" i="1"/>
  <c r="L18" i="1"/>
  <c r="L66" i="1"/>
  <c r="L29" i="1"/>
  <c r="L41" i="1"/>
  <c r="L85" i="1"/>
  <c r="L67" i="1"/>
  <c r="L22" i="1"/>
  <c r="L17" i="1"/>
  <c r="L125" i="1"/>
  <c r="L35" i="1"/>
  <c r="L46" i="1"/>
  <c r="L20" i="1"/>
  <c r="L12" i="1"/>
  <c r="L83" i="1"/>
  <c r="L42" i="1"/>
  <c r="L33" i="1"/>
  <c r="L13" i="1"/>
  <c r="L63" i="1"/>
  <c r="L52" i="1"/>
  <c r="L102" i="1"/>
  <c r="L69" i="1"/>
  <c r="L58" i="1"/>
  <c r="L94" i="1"/>
  <c r="L78" i="1"/>
  <c r="L37" i="1"/>
  <c r="L45" i="1"/>
  <c r="L25" i="1"/>
  <c r="L74" i="1"/>
  <c r="L97" i="1"/>
  <c r="L6" i="1"/>
  <c r="L59" i="1"/>
  <c r="L187" i="1"/>
  <c r="L146" i="1"/>
  <c r="L108" i="1"/>
  <c r="L99" i="1"/>
  <c r="L70" i="1"/>
  <c r="L30" i="1"/>
  <c r="L126" i="1"/>
  <c r="L77" i="1"/>
  <c r="L217" i="1"/>
  <c r="L27" i="1"/>
  <c r="L56" i="1"/>
  <c r="L68" i="1"/>
  <c r="L57" i="1"/>
  <c r="L214" i="1"/>
  <c r="L21" i="1"/>
  <c r="L182" i="1"/>
  <c r="L202" i="1"/>
  <c r="L173" i="1"/>
  <c r="L150" i="1"/>
  <c r="L53" i="1"/>
  <c r="L88" i="1"/>
  <c r="L95" i="1"/>
  <c r="L185" i="1"/>
  <c r="L208" i="1"/>
  <c r="L82" i="1"/>
  <c r="L176" i="1"/>
  <c r="L79" i="1"/>
  <c r="L44" i="1"/>
  <c r="L92" i="1"/>
  <c r="L54" i="1"/>
  <c r="L98" i="1"/>
  <c r="L160" i="1"/>
  <c r="L105" i="1"/>
  <c r="L139" i="1"/>
  <c r="L40" i="1"/>
  <c r="L124" i="1"/>
  <c r="L158" i="1"/>
  <c r="L106" i="1"/>
  <c r="L136" i="1"/>
  <c r="L49" i="1"/>
  <c r="L36" i="1"/>
  <c r="L240" i="1"/>
  <c r="L75" i="1"/>
  <c r="L73" i="1"/>
  <c r="L51" i="1"/>
  <c r="L104" i="1"/>
  <c r="L61" i="1"/>
  <c r="L100" i="1"/>
  <c r="L48" i="1"/>
  <c r="L119" i="1"/>
  <c r="L181" i="1"/>
  <c r="L207" i="1"/>
  <c r="L23" i="1"/>
  <c r="L64" i="1"/>
  <c r="L122" i="1"/>
  <c r="L117" i="1"/>
  <c r="L62" i="1"/>
  <c r="L116" i="1"/>
  <c r="L153" i="1"/>
  <c r="L60" i="1"/>
  <c r="L151" i="1"/>
  <c r="L169" i="1"/>
  <c r="L184" i="1"/>
  <c r="L137" i="1"/>
  <c r="L145" i="1"/>
  <c r="L84" i="1"/>
  <c r="L134" i="1"/>
  <c r="L129" i="1"/>
  <c r="L232" i="1"/>
  <c r="L115" i="1"/>
  <c r="L175" i="1"/>
  <c r="L143" i="1"/>
  <c r="L165" i="1"/>
  <c r="L209" i="1"/>
  <c r="L164" i="1"/>
  <c r="L86" i="1"/>
  <c r="L72" i="1"/>
  <c r="L121" i="1"/>
  <c r="L237" i="1"/>
  <c r="L234" i="1"/>
  <c r="L205" i="1"/>
  <c r="L96" i="1"/>
  <c r="L154" i="1"/>
  <c r="L91" i="1"/>
  <c r="L89" i="1"/>
  <c r="L141" i="1"/>
  <c r="L81" i="1"/>
  <c r="L71" i="1"/>
  <c r="L112" i="1"/>
  <c r="L128" i="1"/>
  <c r="L215" i="1"/>
  <c r="L224" i="1"/>
  <c r="L200" i="1"/>
  <c r="L199" i="1"/>
  <c r="L149" i="1"/>
  <c r="L93" i="1"/>
  <c r="L148" i="1"/>
  <c r="L220" i="1"/>
  <c r="L152" i="1"/>
  <c r="L80" i="1"/>
  <c r="L107" i="1"/>
  <c r="L174" i="1"/>
  <c r="L132" i="1"/>
  <c r="L123" i="1"/>
  <c r="L180" i="1"/>
  <c r="L157" i="1"/>
  <c r="L39" i="1"/>
  <c r="L110" i="1"/>
  <c r="L198" i="1"/>
  <c r="L171" i="1"/>
  <c r="L186" i="1"/>
  <c r="L65" i="1"/>
  <c r="L163" i="1"/>
  <c r="L113" i="1"/>
  <c r="L172" i="1"/>
  <c r="L118" i="1"/>
  <c r="L120" i="1"/>
  <c r="L166" i="1"/>
  <c r="L241" i="1"/>
  <c r="L161" i="1"/>
  <c r="L130" i="1"/>
  <c r="L144" i="1"/>
  <c r="L226" i="1"/>
  <c r="L183" i="1"/>
  <c r="L188" i="1"/>
  <c r="L227" i="1"/>
  <c r="L101" i="1"/>
  <c r="L190" i="1"/>
  <c r="L135" i="1"/>
  <c r="L131" i="1"/>
  <c r="L167" i="1"/>
  <c r="L203" i="1"/>
  <c r="L133" i="1"/>
  <c r="L204" i="1"/>
  <c r="L76" i="1"/>
  <c r="L233" i="1"/>
  <c r="L195" i="1"/>
  <c r="L111" i="1"/>
  <c r="L15" i="1"/>
  <c r="L177" i="1"/>
  <c r="L109" i="1"/>
  <c r="L140" i="1"/>
  <c r="L156" i="1"/>
  <c r="L155" i="1"/>
  <c r="L127" i="1"/>
  <c r="L162" i="1"/>
  <c r="L147" i="1"/>
  <c r="L211" i="1"/>
  <c r="L191" i="1"/>
  <c r="L168" i="1"/>
  <c r="L103" i="1"/>
  <c r="L194" i="1"/>
  <c r="L219" i="1"/>
  <c r="L231" i="1"/>
  <c r="L193" i="1"/>
  <c r="L236" i="1"/>
  <c r="L230" i="1"/>
  <c r="L218" i="1"/>
  <c r="L170" i="1"/>
  <c r="L192" i="1"/>
  <c r="L222" i="1"/>
  <c r="L238" i="1"/>
  <c r="L201" i="1"/>
  <c r="L242" i="1"/>
  <c r="L159" i="1"/>
  <c r="L239" i="1"/>
  <c r="L213" i="1"/>
  <c r="L212" i="1"/>
  <c r="L4" i="1"/>
  <c r="L196" i="1"/>
  <c r="L229" i="1"/>
  <c r="L228" i="1"/>
  <c r="L216" i="1"/>
  <c r="L179" i="1"/>
  <c r="L189" i="1"/>
  <c r="L210" i="1"/>
  <c r="L221" i="1"/>
  <c r="L178" i="1"/>
  <c r="L206" i="1"/>
  <c r="L225" i="1"/>
  <c r="L243" i="1"/>
  <c r="L235" i="1"/>
  <c r="L244" i="1"/>
  <c r="L245" i="1"/>
  <c r="L2" i="1"/>
  <c r="K3" i="1"/>
  <c r="K5" i="1"/>
  <c r="K50" i="1"/>
  <c r="K114" i="1"/>
  <c r="K55" i="1"/>
  <c r="K223" i="1"/>
  <c r="K28" i="1"/>
  <c r="K10" i="1"/>
  <c r="K19" i="1"/>
  <c r="K16" i="1"/>
  <c r="K138" i="1"/>
  <c r="K7" i="1"/>
  <c r="K8" i="1"/>
  <c r="K14" i="1"/>
  <c r="K32" i="1"/>
  <c r="K11" i="1"/>
  <c r="K197" i="1"/>
  <c r="K43" i="1"/>
  <c r="K47" i="1"/>
  <c r="K31" i="1"/>
  <c r="K142" i="1"/>
  <c r="K34" i="1"/>
  <c r="K9" i="1"/>
  <c r="K90" i="1"/>
  <c r="K38" i="1"/>
  <c r="K18" i="1"/>
  <c r="K87" i="1"/>
  <c r="K66" i="1"/>
  <c r="K29" i="1"/>
  <c r="K41" i="1"/>
  <c r="K85" i="1"/>
  <c r="K26" i="1"/>
  <c r="K24" i="1"/>
  <c r="K67" i="1"/>
  <c r="K22" i="1"/>
  <c r="K17" i="1"/>
  <c r="K125" i="1"/>
  <c r="K35" i="1"/>
  <c r="K46" i="1"/>
  <c r="K20" i="1"/>
  <c r="K12" i="1"/>
  <c r="K83" i="1"/>
  <c r="K42" i="1"/>
  <c r="K33" i="1"/>
  <c r="K13" i="1"/>
  <c r="K63" i="1"/>
  <c r="K52" i="1"/>
  <c r="K102" i="1"/>
  <c r="K69" i="1"/>
  <c r="K58" i="1"/>
  <c r="K94" i="1"/>
  <c r="K78" i="1"/>
  <c r="K37" i="1"/>
  <c r="K45" i="1"/>
  <c r="K25" i="1"/>
  <c r="K74" i="1"/>
  <c r="K97" i="1"/>
  <c r="K6" i="1"/>
  <c r="K59" i="1"/>
  <c r="K187" i="1"/>
  <c r="K146" i="1"/>
  <c r="K108" i="1"/>
  <c r="K99" i="1"/>
  <c r="K70" i="1"/>
  <c r="K30" i="1"/>
  <c r="K126" i="1"/>
  <c r="K77" i="1"/>
  <c r="K217" i="1"/>
  <c r="K27" i="1"/>
  <c r="K56" i="1"/>
  <c r="K68" i="1"/>
  <c r="K57" i="1"/>
  <c r="K214" i="1"/>
  <c r="K21" i="1"/>
  <c r="K182" i="1"/>
  <c r="K202" i="1"/>
  <c r="K173" i="1"/>
  <c r="K150" i="1"/>
  <c r="K53" i="1"/>
  <c r="K88" i="1"/>
  <c r="K95" i="1"/>
  <c r="K185" i="1"/>
  <c r="K208" i="1"/>
  <c r="K82" i="1"/>
  <c r="K176" i="1"/>
  <c r="K79" i="1"/>
  <c r="K44" i="1"/>
  <c r="K92" i="1"/>
  <c r="K54" i="1"/>
  <c r="K98" i="1"/>
  <c r="K160" i="1"/>
  <c r="K105" i="1"/>
  <c r="K139" i="1"/>
  <c r="K40" i="1"/>
  <c r="K124" i="1"/>
  <c r="K158" i="1"/>
  <c r="K106" i="1"/>
  <c r="K136" i="1"/>
  <c r="K49" i="1"/>
  <c r="K36" i="1"/>
  <c r="K240" i="1"/>
  <c r="K75" i="1"/>
  <c r="K73" i="1"/>
  <c r="K51" i="1"/>
  <c r="K104" i="1"/>
  <c r="K61" i="1"/>
  <c r="K100" i="1"/>
  <c r="K48" i="1"/>
  <c r="K119" i="1"/>
  <c r="K181" i="1"/>
  <c r="K207" i="1"/>
  <c r="K23" i="1"/>
  <c r="K64" i="1"/>
  <c r="K122" i="1"/>
  <c r="K117" i="1"/>
  <c r="K62" i="1"/>
  <c r="K116" i="1"/>
  <c r="K153" i="1"/>
  <c r="K60" i="1"/>
  <c r="K151" i="1"/>
  <c r="K169" i="1"/>
  <c r="K184" i="1"/>
  <c r="K137" i="1"/>
  <c r="K145" i="1"/>
  <c r="K84" i="1"/>
  <c r="K134" i="1"/>
  <c r="K129" i="1"/>
  <c r="K232" i="1"/>
  <c r="K115" i="1"/>
  <c r="K175" i="1"/>
  <c r="K143" i="1"/>
  <c r="K165" i="1"/>
  <c r="K209" i="1"/>
  <c r="K164" i="1"/>
  <c r="K86" i="1"/>
  <c r="K72" i="1"/>
  <c r="K121" i="1"/>
  <c r="K237" i="1"/>
  <c r="K234" i="1"/>
  <c r="K205" i="1"/>
  <c r="K96" i="1"/>
  <c r="K154" i="1"/>
  <c r="K91" i="1"/>
  <c r="K89" i="1"/>
  <c r="K141" i="1"/>
  <c r="K81" i="1"/>
  <c r="K71" i="1"/>
  <c r="K112" i="1"/>
  <c r="K128" i="1"/>
  <c r="K215" i="1"/>
  <c r="K224" i="1"/>
  <c r="K200" i="1"/>
  <c r="K199" i="1"/>
  <c r="K149" i="1"/>
  <c r="K93" i="1"/>
  <c r="K148" i="1"/>
  <c r="K220" i="1"/>
  <c r="K152" i="1"/>
  <c r="K80" i="1"/>
  <c r="K107" i="1"/>
  <c r="K174" i="1"/>
  <c r="K132" i="1"/>
  <c r="K123" i="1"/>
  <c r="K180" i="1"/>
  <c r="K157" i="1"/>
  <c r="K39" i="1"/>
  <c r="K110" i="1"/>
  <c r="K198" i="1"/>
  <c r="K171" i="1"/>
  <c r="K186" i="1"/>
  <c r="K65" i="1"/>
  <c r="K163" i="1"/>
  <c r="K113" i="1"/>
  <c r="K172" i="1"/>
  <c r="K118" i="1"/>
  <c r="K120" i="1"/>
  <c r="K166" i="1"/>
  <c r="K241" i="1"/>
  <c r="K161" i="1"/>
  <c r="K130" i="1"/>
  <c r="K144" i="1"/>
  <c r="K226" i="1"/>
  <c r="K183" i="1"/>
  <c r="K188" i="1"/>
  <c r="K227" i="1"/>
  <c r="K101" i="1"/>
  <c r="K190" i="1"/>
  <c r="K135" i="1"/>
  <c r="K131" i="1"/>
  <c r="K167" i="1"/>
  <c r="K203" i="1"/>
  <c r="K133" i="1"/>
  <c r="K204" i="1"/>
  <c r="K76" i="1"/>
  <c r="K233" i="1"/>
  <c r="K195" i="1"/>
  <c r="K111" i="1"/>
  <c r="K15" i="1"/>
  <c r="K177" i="1"/>
  <c r="K109" i="1"/>
  <c r="K140" i="1"/>
  <c r="K156" i="1"/>
  <c r="K155" i="1"/>
  <c r="K127" i="1"/>
  <c r="K162" i="1"/>
  <c r="K147" i="1"/>
  <c r="K211" i="1"/>
  <c r="K191" i="1"/>
  <c r="K168" i="1"/>
  <c r="K103" i="1"/>
  <c r="K194" i="1"/>
  <c r="K219" i="1"/>
  <c r="K231" i="1"/>
  <c r="K193" i="1"/>
  <c r="K236" i="1"/>
  <c r="K230" i="1"/>
  <c r="K218" i="1"/>
  <c r="K170" i="1"/>
  <c r="K192" i="1"/>
  <c r="K222" i="1"/>
  <c r="K238" i="1"/>
  <c r="K201" i="1"/>
  <c r="K242" i="1"/>
  <c r="K159" i="1"/>
  <c r="K239" i="1"/>
  <c r="K213" i="1"/>
  <c r="K212" i="1"/>
  <c r="K4" i="1"/>
  <c r="K196" i="1"/>
  <c r="K229" i="1"/>
  <c r="K228" i="1"/>
  <c r="K216" i="1"/>
  <c r="K179" i="1"/>
  <c r="K189" i="1"/>
  <c r="K210" i="1"/>
  <c r="K221" i="1"/>
  <c r="K178" i="1"/>
  <c r="K206" i="1"/>
  <c r="K225" i="1"/>
  <c r="K243" i="1"/>
  <c r="K235" i="1"/>
  <c r="K244" i="1"/>
  <c r="K245" i="1"/>
  <c r="K2" i="1"/>
  <c r="J3" i="1"/>
  <c r="J5" i="1"/>
  <c r="J50" i="1"/>
  <c r="J114" i="1"/>
  <c r="J55" i="1"/>
  <c r="J223" i="1"/>
  <c r="J28" i="1"/>
  <c r="J10" i="1"/>
  <c r="J19" i="1"/>
  <c r="J16" i="1"/>
  <c r="J138" i="1"/>
  <c r="J7" i="1"/>
  <c r="J8" i="1"/>
  <c r="J14" i="1"/>
  <c r="J32" i="1"/>
  <c r="J11" i="1"/>
  <c r="J197" i="1"/>
  <c r="J43" i="1"/>
  <c r="J47" i="1"/>
  <c r="J31" i="1"/>
  <c r="J142" i="1"/>
  <c r="J34" i="1"/>
  <c r="J9" i="1"/>
  <c r="J90" i="1"/>
  <c r="J38" i="1"/>
  <c r="J18" i="1"/>
  <c r="J87" i="1"/>
  <c r="J66" i="1"/>
  <c r="J29" i="1"/>
  <c r="J41" i="1"/>
  <c r="J85" i="1"/>
  <c r="J26" i="1"/>
  <c r="J24" i="1"/>
  <c r="J67" i="1"/>
  <c r="J22" i="1"/>
  <c r="J17" i="1"/>
  <c r="J125" i="1"/>
  <c r="J35" i="1"/>
  <c r="J46" i="1"/>
  <c r="J20" i="1"/>
  <c r="J12" i="1"/>
  <c r="J83" i="1"/>
  <c r="J42" i="1"/>
  <c r="J33" i="1"/>
  <c r="J13" i="1"/>
  <c r="J63" i="1"/>
  <c r="J52" i="1"/>
  <c r="J102" i="1"/>
  <c r="J69" i="1"/>
  <c r="J58" i="1"/>
  <c r="J94" i="1"/>
  <c r="J78" i="1"/>
  <c r="J37" i="1"/>
  <c r="J45" i="1"/>
  <c r="J25" i="1"/>
  <c r="J74" i="1"/>
  <c r="J97" i="1"/>
  <c r="J6" i="1"/>
  <c r="J59" i="1"/>
  <c r="J187" i="1"/>
  <c r="J146" i="1"/>
  <c r="J108" i="1"/>
  <c r="J99" i="1"/>
  <c r="J70" i="1"/>
  <c r="J30" i="1"/>
  <c r="J126" i="1"/>
  <c r="J77" i="1"/>
  <c r="J217" i="1"/>
  <c r="J27" i="1"/>
  <c r="J56" i="1"/>
  <c r="J68" i="1"/>
  <c r="J57" i="1"/>
  <c r="J214" i="1"/>
  <c r="J21" i="1"/>
  <c r="J182" i="1"/>
  <c r="J202" i="1"/>
  <c r="J173" i="1"/>
  <c r="J150" i="1"/>
  <c r="J53" i="1"/>
  <c r="J88" i="1"/>
  <c r="J95" i="1"/>
  <c r="J185" i="1"/>
  <c r="J208" i="1"/>
  <c r="J82" i="1"/>
  <c r="J176" i="1"/>
  <c r="J79" i="1"/>
  <c r="J44" i="1"/>
  <c r="J92" i="1"/>
  <c r="J54" i="1"/>
  <c r="J98" i="1"/>
  <c r="J160" i="1"/>
  <c r="J105" i="1"/>
  <c r="J139" i="1"/>
  <c r="J40" i="1"/>
  <c r="J124" i="1"/>
  <c r="J158" i="1"/>
  <c r="J106" i="1"/>
  <c r="J136" i="1"/>
  <c r="J49" i="1"/>
  <c r="J36" i="1"/>
  <c r="J240" i="1"/>
  <c r="J75" i="1"/>
  <c r="J73" i="1"/>
  <c r="J51" i="1"/>
  <c r="J104" i="1"/>
  <c r="J61" i="1"/>
  <c r="J100" i="1"/>
  <c r="J48" i="1"/>
  <c r="J119" i="1"/>
  <c r="J181" i="1"/>
  <c r="J207" i="1"/>
  <c r="J23" i="1"/>
  <c r="J64" i="1"/>
  <c r="J122" i="1"/>
  <c r="J117" i="1"/>
  <c r="J62" i="1"/>
  <c r="J116" i="1"/>
  <c r="J153" i="1"/>
  <c r="J60" i="1"/>
  <c r="J151" i="1"/>
  <c r="J169" i="1"/>
  <c r="J184" i="1"/>
  <c r="J137" i="1"/>
  <c r="J145" i="1"/>
  <c r="J84" i="1"/>
  <c r="J134" i="1"/>
  <c r="J129" i="1"/>
  <c r="J232" i="1"/>
  <c r="J115" i="1"/>
  <c r="J175" i="1"/>
  <c r="J143" i="1"/>
  <c r="J165" i="1"/>
  <c r="J209" i="1"/>
  <c r="J164" i="1"/>
  <c r="J86" i="1"/>
  <c r="J72" i="1"/>
  <c r="J121" i="1"/>
  <c r="J237" i="1"/>
  <c r="J234" i="1"/>
  <c r="J205" i="1"/>
  <c r="J96" i="1"/>
  <c r="J154" i="1"/>
  <c r="J91" i="1"/>
  <c r="J89" i="1"/>
  <c r="J141" i="1"/>
  <c r="J81" i="1"/>
  <c r="J71" i="1"/>
  <c r="J112" i="1"/>
  <c r="J128" i="1"/>
  <c r="J215" i="1"/>
  <c r="J224" i="1"/>
  <c r="J200" i="1"/>
  <c r="J199" i="1"/>
  <c r="J149" i="1"/>
  <c r="J93" i="1"/>
  <c r="J148" i="1"/>
  <c r="J220" i="1"/>
  <c r="J152" i="1"/>
  <c r="J80" i="1"/>
  <c r="J107" i="1"/>
  <c r="J174" i="1"/>
  <c r="J132" i="1"/>
  <c r="J123" i="1"/>
  <c r="J180" i="1"/>
  <c r="J157" i="1"/>
  <c r="J39" i="1"/>
  <c r="J110" i="1"/>
  <c r="J198" i="1"/>
  <c r="J171" i="1"/>
  <c r="J186" i="1"/>
  <c r="J65" i="1"/>
  <c r="J163" i="1"/>
  <c r="J113" i="1"/>
  <c r="J172" i="1"/>
  <c r="J118" i="1"/>
  <c r="J120" i="1"/>
  <c r="J166" i="1"/>
  <c r="J241" i="1"/>
  <c r="J161" i="1"/>
  <c r="J130" i="1"/>
  <c r="J144" i="1"/>
  <c r="J226" i="1"/>
  <c r="J183" i="1"/>
  <c r="J188" i="1"/>
  <c r="J227" i="1"/>
  <c r="J101" i="1"/>
  <c r="J190" i="1"/>
  <c r="J135" i="1"/>
  <c r="J131" i="1"/>
  <c r="J167" i="1"/>
  <c r="J203" i="1"/>
  <c r="J133" i="1"/>
  <c r="J204" i="1"/>
  <c r="J76" i="1"/>
  <c r="J233" i="1"/>
  <c r="J195" i="1"/>
  <c r="J111" i="1"/>
  <c r="J15" i="1"/>
  <c r="J177" i="1"/>
  <c r="J109" i="1"/>
  <c r="J140" i="1"/>
  <c r="J156" i="1"/>
  <c r="J155" i="1"/>
  <c r="J127" i="1"/>
  <c r="J162" i="1"/>
  <c r="J147" i="1"/>
  <c r="J211" i="1"/>
  <c r="J191" i="1"/>
  <c r="J168" i="1"/>
  <c r="J103" i="1"/>
  <c r="J194" i="1"/>
  <c r="J219" i="1"/>
  <c r="J231" i="1"/>
  <c r="J193" i="1"/>
  <c r="J236" i="1"/>
  <c r="J230" i="1"/>
  <c r="J218" i="1"/>
  <c r="J170" i="1"/>
  <c r="J192" i="1"/>
  <c r="J222" i="1"/>
  <c r="J238" i="1"/>
  <c r="J201" i="1"/>
  <c r="J242" i="1"/>
  <c r="J159" i="1"/>
  <c r="J239" i="1"/>
  <c r="J213" i="1"/>
  <c r="J212" i="1"/>
  <c r="J4" i="1"/>
  <c r="J196" i="1"/>
  <c r="J229" i="1"/>
  <c r="J228" i="1"/>
  <c r="J216" i="1"/>
  <c r="J179" i="1"/>
  <c r="J189" i="1"/>
  <c r="J210" i="1"/>
  <c r="J221" i="1"/>
  <c r="J178" i="1"/>
  <c r="J206" i="1"/>
  <c r="J225" i="1"/>
  <c r="J243" i="1"/>
  <c r="J235" i="1"/>
  <c r="J244" i="1"/>
  <c r="J245" i="1"/>
  <c r="J2" i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72" i="1"/>
  <c r="H50" i="1"/>
  <c r="H51" i="1"/>
  <c r="H52" i="1"/>
  <c r="H53" i="1"/>
  <c r="H54" i="1"/>
  <c r="H55" i="1"/>
  <c r="H56" i="1"/>
  <c r="H57" i="1"/>
  <c r="H58" i="1"/>
  <c r="H59" i="1"/>
  <c r="H60" i="1"/>
  <c r="H75" i="1"/>
  <c r="H76" i="1"/>
  <c r="H77" i="1"/>
  <c r="H73" i="1"/>
  <c r="H61" i="1"/>
  <c r="H62" i="1"/>
  <c r="H63" i="1"/>
  <c r="H64" i="1"/>
  <c r="H79" i="1"/>
  <c r="H65" i="1"/>
  <c r="H66" i="1"/>
  <c r="H67" i="1"/>
  <c r="H68" i="1"/>
  <c r="H74" i="1"/>
  <c r="H69" i="1"/>
  <c r="H78" i="1"/>
  <c r="H70" i="1"/>
  <c r="H71" i="1"/>
  <c r="H80" i="1"/>
  <c r="H81" i="1"/>
  <c r="H82" i="1"/>
  <c r="H83" i="1"/>
  <c r="H84" i="1"/>
  <c r="H85" i="1"/>
  <c r="H86" i="1"/>
  <c r="H87" i="1"/>
  <c r="H88" i="1"/>
  <c r="H89" i="1"/>
  <c r="H90" i="1"/>
  <c r="H91" i="1"/>
  <c r="H93" i="1"/>
  <c r="H92" i="1"/>
  <c r="H94" i="1"/>
  <c r="H96" i="1"/>
  <c r="H95" i="1"/>
  <c r="H97" i="1"/>
  <c r="H98" i="1"/>
  <c r="H99" i="1"/>
  <c r="H109" i="1"/>
  <c r="H100" i="1"/>
  <c r="H101" i="1"/>
  <c r="H108" i="1"/>
  <c r="H102" i="1"/>
  <c r="H103" i="1"/>
  <c r="H104" i="1"/>
  <c r="H105" i="1"/>
  <c r="H106" i="1"/>
  <c r="H107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43" i="1"/>
  <c r="H125" i="1"/>
  <c r="H126" i="1"/>
  <c r="H127" i="1"/>
  <c r="H128" i="1"/>
  <c r="H144" i="1"/>
  <c r="H140" i="1"/>
  <c r="H129" i="1"/>
  <c r="H130" i="1"/>
  <c r="H131" i="1"/>
  <c r="H132" i="1"/>
  <c r="H133" i="1"/>
  <c r="H134" i="1"/>
  <c r="H135" i="1"/>
  <c r="H136" i="1"/>
  <c r="H137" i="1"/>
  <c r="H145" i="1"/>
  <c r="H147" i="1"/>
  <c r="H141" i="1"/>
  <c r="H146" i="1"/>
  <c r="H142" i="1"/>
  <c r="H138" i="1"/>
  <c r="H139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3" i="1"/>
  <c r="H172" i="1"/>
  <c r="H177" i="1"/>
  <c r="H178" i="1"/>
  <c r="H174" i="1"/>
  <c r="H175" i="1"/>
  <c r="H176" i="1"/>
  <c r="H182" i="1"/>
  <c r="H179" i="1"/>
  <c r="H180" i="1"/>
  <c r="H181" i="1"/>
  <c r="H183" i="1"/>
  <c r="H184" i="1"/>
  <c r="H185" i="1"/>
  <c r="H186" i="1"/>
  <c r="H187" i="1"/>
  <c r="H188" i="1"/>
  <c r="H189" i="1"/>
  <c r="H191" i="1"/>
  <c r="H190" i="1"/>
  <c r="H192" i="1"/>
  <c r="H203" i="1"/>
  <c r="H193" i="1"/>
  <c r="H194" i="1"/>
  <c r="H195" i="1"/>
  <c r="H199" i="1"/>
  <c r="H200" i="1"/>
  <c r="H196" i="1"/>
  <c r="H197" i="1"/>
  <c r="H201" i="1"/>
  <c r="H198" i="1"/>
  <c r="H202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22" i="1"/>
  <c r="H221" i="1"/>
  <c r="H218" i="1"/>
  <c r="H219" i="1"/>
  <c r="H220" i="1"/>
  <c r="H224" i="1"/>
  <c r="H226" i="1"/>
  <c r="H227" i="1"/>
  <c r="H225" i="1"/>
  <c r="H223" i="1"/>
  <c r="H228" i="1"/>
  <c r="H229" i="1"/>
  <c r="H230" i="1"/>
  <c r="H231" i="1"/>
  <c r="H232" i="1"/>
  <c r="H233" i="1"/>
  <c r="H234" i="1"/>
  <c r="H235" i="1"/>
  <c r="H236" i="1"/>
  <c r="H237" i="1"/>
  <c r="H238" i="1"/>
  <c r="H240" i="1"/>
  <c r="H239" i="1"/>
  <c r="H241" i="1"/>
  <c r="H242" i="1"/>
  <c r="H243" i="1"/>
  <c r="H244" i="1"/>
  <c r="H245" i="1"/>
  <c r="H2" i="1"/>
  <c r="S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107" i="1"/>
  <c r="S111" i="1"/>
  <c r="S115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68" i="1"/>
  <c r="S108" i="1"/>
  <c r="S116" i="1"/>
  <c r="S124" i="1"/>
  <c r="S160" i="1"/>
  <c r="S172" i="1"/>
  <c r="S180" i="1"/>
  <c r="S188" i="1"/>
  <c r="S200" i="1"/>
  <c r="S208" i="1"/>
  <c r="S216" i="1"/>
  <c r="S220" i="1"/>
  <c r="S228" i="1"/>
  <c r="S240" i="1"/>
  <c r="S138" i="1"/>
  <c r="S182" i="1"/>
  <c r="S194" i="1"/>
  <c r="S206" i="1"/>
  <c r="S218" i="1"/>
  <c r="S230" i="1"/>
  <c r="S242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72" i="1"/>
  <c r="S76" i="1"/>
  <c r="S80" i="1"/>
  <c r="S84" i="1"/>
  <c r="S88" i="1"/>
  <c r="S92" i="1"/>
  <c r="S96" i="1"/>
  <c r="S100" i="1"/>
  <c r="S104" i="1"/>
  <c r="S112" i="1"/>
  <c r="S120" i="1"/>
  <c r="S128" i="1"/>
  <c r="S132" i="1"/>
  <c r="S136" i="1"/>
  <c r="S140" i="1"/>
  <c r="S144" i="1"/>
  <c r="S148" i="1"/>
  <c r="S152" i="1"/>
  <c r="S156" i="1"/>
  <c r="S164" i="1"/>
  <c r="S168" i="1"/>
  <c r="S176" i="1"/>
  <c r="S184" i="1"/>
  <c r="S192" i="1"/>
  <c r="S196" i="1"/>
  <c r="S204" i="1"/>
  <c r="S212" i="1"/>
  <c r="S224" i="1"/>
  <c r="S232" i="1"/>
  <c r="S236" i="1"/>
  <c r="S244" i="1"/>
  <c r="S142" i="1"/>
  <c r="S174" i="1"/>
  <c r="S186" i="1"/>
  <c r="S198" i="1"/>
  <c r="S210" i="1"/>
  <c r="S222" i="1"/>
  <c r="S234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105" i="1"/>
  <c r="S109" i="1"/>
  <c r="S113" i="1"/>
  <c r="S117" i="1"/>
  <c r="S121" i="1"/>
  <c r="S125" i="1"/>
  <c r="S129" i="1"/>
  <c r="S133" i="1"/>
  <c r="S137" i="1"/>
  <c r="S141" i="1"/>
  <c r="S145" i="1"/>
  <c r="S149" i="1"/>
  <c r="S15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8" i="1"/>
  <c r="S122" i="1"/>
  <c r="S126" i="1"/>
  <c r="S130" i="1"/>
  <c r="S134" i="1"/>
  <c r="S146" i="1"/>
  <c r="S150" i="1"/>
  <c r="S154" i="1"/>
  <c r="S158" i="1"/>
  <c r="S162" i="1"/>
  <c r="S166" i="1"/>
  <c r="S170" i="1"/>
  <c r="S178" i="1"/>
  <c r="S190" i="1"/>
  <c r="S202" i="1"/>
  <c r="S214" i="1"/>
  <c r="S226" i="1"/>
  <c r="S238" i="1"/>
  <c r="S2" i="1"/>
  <c r="R12" i="1"/>
  <c r="R3" i="1"/>
  <c r="R19" i="1"/>
  <c r="R35" i="1"/>
  <c r="R51" i="1"/>
  <c r="R67" i="1"/>
  <c r="R83" i="1"/>
  <c r="R99" i="1"/>
  <c r="R115" i="1"/>
  <c r="R131" i="1"/>
  <c r="R147" i="1"/>
  <c r="R163" i="1"/>
  <c r="R179" i="1"/>
  <c r="R195" i="1"/>
  <c r="R211" i="1"/>
  <c r="R227" i="1"/>
  <c r="R243" i="1"/>
  <c r="R16" i="1"/>
  <c r="R32" i="1"/>
  <c r="R48" i="1"/>
  <c r="R64" i="1"/>
  <c r="R80" i="1"/>
  <c r="R96" i="1"/>
  <c r="R112" i="1"/>
  <c r="R128" i="1"/>
  <c r="R144" i="1"/>
  <c r="R160" i="1"/>
  <c r="R176" i="1"/>
  <c r="R192" i="1"/>
  <c r="R208" i="1"/>
  <c r="R224" i="1"/>
  <c r="R240" i="1"/>
  <c r="R13" i="1"/>
  <c r="R29" i="1"/>
  <c r="R45" i="1"/>
  <c r="R61" i="1"/>
  <c r="R77" i="1"/>
  <c r="R93" i="1"/>
  <c r="R109" i="1"/>
  <c r="R125" i="1"/>
  <c r="R141" i="1"/>
  <c r="R157" i="1"/>
  <c r="R173" i="1"/>
  <c r="R189" i="1"/>
  <c r="R205" i="1"/>
  <c r="R221" i="1"/>
  <c r="R237" i="1"/>
  <c r="R10" i="1"/>
  <c r="R26" i="1"/>
  <c r="R42" i="1"/>
  <c r="R58" i="1"/>
  <c r="R74" i="1"/>
  <c r="R90" i="1"/>
  <c r="R106" i="1"/>
  <c r="R122" i="1"/>
  <c r="R138" i="1"/>
  <c r="R154" i="1"/>
  <c r="R170" i="1"/>
  <c r="R186" i="1"/>
  <c r="R202" i="1"/>
  <c r="R218" i="1"/>
  <c r="R234" i="1"/>
  <c r="R149" i="1"/>
  <c r="R197" i="1"/>
  <c r="R245" i="1"/>
  <c r="R50" i="1"/>
  <c r="R7" i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4" i="1"/>
  <c r="R20" i="1"/>
  <c r="R36" i="1"/>
  <c r="R52" i="1"/>
  <c r="R68" i="1"/>
  <c r="R84" i="1"/>
  <c r="R100" i="1"/>
  <c r="R116" i="1"/>
  <c r="R132" i="1"/>
  <c r="R148" i="1"/>
  <c r="R164" i="1"/>
  <c r="R180" i="1"/>
  <c r="R196" i="1"/>
  <c r="R212" i="1"/>
  <c r="R228" i="1"/>
  <c r="R244" i="1"/>
  <c r="R17" i="1"/>
  <c r="R33" i="1"/>
  <c r="R49" i="1"/>
  <c r="R65" i="1"/>
  <c r="R81" i="1"/>
  <c r="R97" i="1"/>
  <c r="R113" i="1"/>
  <c r="R129" i="1"/>
  <c r="R145" i="1"/>
  <c r="R161" i="1"/>
  <c r="R177" i="1"/>
  <c r="R193" i="1"/>
  <c r="R209" i="1"/>
  <c r="R225" i="1"/>
  <c r="R241" i="1"/>
  <c r="R14" i="1"/>
  <c r="R30" i="1"/>
  <c r="R46" i="1"/>
  <c r="R62" i="1"/>
  <c r="R78" i="1"/>
  <c r="R94" i="1"/>
  <c r="R110" i="1"/>
  <c r="R126" i="1"/>
  <c r="R142" i="1"/>
  <c r="R158" i="1"/>
  <c r="R174" i="1"/>
  <c r="R190" i="1"/>
  <c r="R206" i="1"/>
  <c r="R222" i="1"/>
  <c r="R238" i="1"/>
  <c r="R101" i="1"/>
  <c r="R165" i="1"/>
  <c r="R213" i="1"/>
  <c r="R18" i="1"/>
  <c r="R178" i="1"/>
  <c r="R210" i="1"/>
  <c r="R242" i="1"/>
  <c r="R11" i="1"/>
  <c r="R27" i="1"/>
  <c r="R43" i="1"/>
  <c r="R59" i="1"/>
  <c r="R75" i="1"/>
  <c r="R91" i="1"/>
  <c r="R107" i="1"/>
  <c r="R123" i="1"/>
  <c r="R139" i="1"/>
  <c r="R155" i="1"/>
  <c r="R171" i="1"/>
  <c r="R187" i="1"/>
  <c r="R203" i="1"/>
  <c r="R219" i="1"/>
  <c r="R235" i="1"/>
  <c r="R8" i="1"/>
  <c r="R24" i="1"/>
  <c r="R40" i="1"/>
  <c r="R56" i="1"/>
  <c r="R72" i="1"/>
  <c r="R88" i="1"/>
  <c r="R104" i="1"/>
  <c r="R120" i="1"/>
  <c r="R136" i="1"/>
  <c r="R152" i="1"/>
  <c r="R168" i="1"/>
  <c r="R184" i="1"/>
  <c r="R200" i="1"/>
  <c r="R216" i="1"/>
  <c r="R232" i="1"/>
  <c r="R5" i="1"/>
  <c r="R21" i="1"/>
  <c r="R37" i="1"/>
  <c r="R53" i="1"/>
  <c r="R69" i="1"/>
  <c r="R85" i="1"/>
  <c r="R117" i="1"/>
  <c r="R133" i="1"/>
  <c r="R181" i="1"/>
  <c r="R229" i="1"/>
  <c r="R34" i="1"/>
  <c r="R66" i="1"/>
  <c r="R82" i="1"/>
  <c r="R98" i="1"/>
  <c r="R114" i="1"/>
  <c r="R130" i="1"/>
  <c r="R146" i="1"/>
  <c r="R162" i="1"/>
  <c r="R194" i="1"/>
  <c r="R226" i="1"/>
  <c r="R15" i="1"/>
  <c r="R31" i="1"/>
  <c r="R47" i="1"/>
  <c r="R63" i="1"/>
  <c r="R79" i="1"/>
  <c r="R95" i="1"/>
  <c r="R111" i="1"/>
  <c r="R127" i="1"/>
  <c r="R143" i="1"/>
  <c r="R159" i="1"/>
  <c r="R175" i="1"/>
  <c r="R191" i="1"/>
  <c r="R207" i="1"/>
  <c r="R223" i="1"/>
  <c r="R239" i="1"/>
  <c r="R28" i="1"/>
  <c r="R44" i="1"/>
  <c r="R60" i="1"/>
  <c r="R76" i="1"/>
  <c r="R92" i="1"/>
  <c r="R108" i="1"/>
  <c r="R124" i="1"/>
  <c r="R140" i="1"/>
  <c r="R156" i="1"/>
  <c r="R172" i="1"/>
  <c r="R188" i="1"/>
  <c r="R204" i="1"/>
  <c r="R220" i="1"/>
  <c r="R236" i="1"/>
  <c r="R9" i="1"/>
  <c r="R25" i="1"/>
  <c r="R41" i="1"/>
  <c r="R57" i="1"/>
  <c r="R73" i="1"/>
  <c r="R89" i="1"/>
  <c r="R105" i="1"/>
  <c r="R121" i="1"/>
  <c r="R137" i="1"/>
  <c r="R153" i="1"/>
  <c r="R169" i="1"/>
  <c r="R185" i="1"/>
  <c r="R201" i="1"/>
  <c r="R217" i="1"/>
  <c r="R233" i="1"/>
  <c r="R6" i="1"/>
  <c r="R22" i="1"/>
  <c r="R38" i="1"/>
  <c r="R54" i="1"/>
  <c r="R70" i="1"/>
  <c r="R86" i="1"/>
  <c r="R102" i="1"/>
  <c r="R118" i="1"/>
  <c r="R134" i="1"/>
  <c r="R150" i="1"/>
  <c r="R166" i="1"/>
  <c r="R182" i="1"/>
  <c r="R198" i="1"/>
  <c r="R214" i="1"/>
  <c r="R230" i="1"/>
  <c r="R2" i="1"/>
  <c r="X62" i="1" l="1"/>
  <c r="Y14" i="1"/>
  <c r="Y15" i="1"/>
  <c r="Y19" i="1"/>
  <c r="Y16" i="1"/>
  <c r="Y17" i="1"/>
  <c r="Y18" i="1"/>
  <c r="X15" i="1"/>
  <c r="X14" i="1"/>
  <c r="X16" i="1"/>
  <c r="X17" i="1"/>
  <c r="X61" i="1" l="1"/>
</calcChain>
</file>

<file path=xl/sharedStrings.xml><?xml version="1.0" encoding="utf-8"?>
<sst xmlns="http://schemas.openxmlformats.org/spreadsheetml/2006/main" count="1086" uniqueCount="73">
  <si>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</si>
  <si>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</si>
  <si>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</si>
  <si>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</si>
  <si>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</si>
  <si>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</si>
  <si>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</si>
  <si>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</si>
  <si>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</si>
  <si>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</si>
  <si>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</si>
  <si>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</si>
  <si>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</si>
  <si>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</si>
  <si>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</si>
  <si>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</si>
  <si>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</si>
  <si>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</si>
  <si>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</si>
  <si>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</si>
  <si>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</si>
  <si>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</si>
  <si>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</si>
  <si>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</si>
  <si>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</si>
  <si>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</si>
  <si>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Find out if there are any missing values and clean the data</t>
  </si>
  <si>
    <t>Find the features that are independent and dependent</t>
  </si>
  <si>
    <t>Identify which predictive problem is needed.</t>
  </si>
  <si>
    <t>Encode the categorical variables to numeric values using IF conditions</t>
  </si>
  <si>
    <t>Build an appropriate model with the dataset. </t>
  </si>
  <si>
    <t>Calculate the predicted and actual tips values.</t>
  </si>
  <si>
    <t>Calculate the RMSE(Root Mean Square Error) of the model. RMSE is root of mean of square errors.</t>
  </si>
  <si>
    <t>Use excel to predict restaurant tips.</t>
  </si>
  <si>
    <t>no missing values</t>
  </si>
  <si>
    <t>dep: total bill, tip</t>
  </si>
  <si>
    <t>ind: sex, smoker, day, time, size</t>
  </si>
  <si>
    <t>predict restarant tips</t>
  </si>
  <si>
    <t>tip %</t>
  </si>
  <si>
    <t>time (L=0,D=1)</t>
  </si>
  <si>
    <t>smoker (n=0, y=1)</t>
  </si>
  <si>
    <t>sex (m=0, f=1)</t>
  </si>
  <si>
    <t>Row Labels</t>
  </si>
  <si>
    <t>Grand Total</t>
  </si>
  <si>
    <t>Average of tip %</t>
  </si>
  <si>
    <t>Sum of total_bill</t>
  </si>
  <si>
    <t>Sum of size</t>
  </si>
  <si>
    <t>total</t>
  </si>
  <si>
    <t>Average of total_bill</t>
  </si>
  <si>
    <t>Average of tip</t>
  </si>
  <si>
    <t>Sex</t>
  </si>
  <si>
    <t>Smoker</t>
  </si>
  <si>
    <t>Day</t>
  </si>
  <si>
    <t>Size</t>
  </si>
  <si>
    <t>Time</t>
  </si>
  <si>
    <t>Everyone seems to always tip around 14-16% of the total bill</t>
  </si>
  <si>
    <t>There is an exception for people who dined alone where their average tip was 21.73%, however, that is usually because they do not buy a lot and they tip around a dollar, which is just greater proportionally</t>
  </si>
  <si>
    <t>predicted tip %</t>
  </si>
  <si>
    <t>tip amt</t>
  </si>
  <si>
    <t>For each independent numeric value, find its correlation coefficient with respect to the tip amount and percentage</t>
  </si>
  <si>
    <t>when looking at the strength between the variables and tip percentage, there is no significant correlation</t>
  </si>
  <si>
    <t>there is is stronger correlation for size and total with tip amount because they usually tip by percentage, so a bigger total is going to mean a bigger tip</t>
  </si>
  <si>
    <t>I added 3 columns to the table on the left</t>
  </si>
  <si>
    <t>the first is predicted average by percent where I take the total bill and multiply it by the average tip % of each variable. Ex for first row: avg(avg female tip %, avg smoker tip %, avg day tip %,…, avg size tip %) * total bill</t>
  </si>
  <si>
    <t>then the predicted avg by amount is the same as percent, but instead of average tip I used average amount</t>
  </si>
  <si>
    <t xml:space="preserve">Lastly, I averaged out both </t>
  </si>
  <si>
    <t>avg of avgs</t>
  </si>
  <si>
    <t>predicted tip by avg amts</t>
  </si>
  <si>
    <t>predicted tip by %</t>
  </si>
  <si>
    <t>calculating with the predicted tip amount by multiplying with the tip % has a smaller root of mean square error, as supported by the chart</t>
  </si>
  <si>
    <t xml:space="preserve">In the chart, you can see that the least accurate to the actual would be the predicted average by amount. </t>
  </si>
  <si>
    <t>predicted avg by percent seems to follow the trend closer</t>
  </si>
  <si>
    <t>but the averaging of both seems to be the best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</si>
</sst>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rgb="FF646464"/>
      <name val="Arial"/>
      <family val="2"/>
    </font>
    <font>
      <b/>
      <sz val="11"/>
      <color rgb="FF646464"/>
      <name val="Arial"/>
      <family val="2"/>
    </font>
    <font>
      <sz val="11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medium">
        <color indexed="64"/>
      </left>
      <right/>
      <top style="thin">
        <color rgb="FF999999"/>
      </top>
      <bottom/>
      <diagonal/>
    </border>
    <border>
      <left/>
      <right style="medium">
        <color indexed="64"/>
      </right>
      <top style="thin">
        <color rgb="FF999999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/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/>
      <top style="thin">
        <color rgb="FF999999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 style="medium">
        <color indexed="64"/>
      </bottom>
      <diagonal/>
    </border>
    <border>
      <left/>
      <right/>
      <top style="thin">
        <color rgb="FF999999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10" fontId="0" fillId="0" borderId="0" xfId="0" applyNumberFormat="1"/>
    <xf numFmtId="0" fontId="0" fillId="0" borderId="0" xfId="0" applyFont="1"/>
    <xf numFmtId="0" fontId="3" fillId="0" borderId="0" xfId="0" applyFont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0" fontId="0" fillId="0" borderId="0" xfId="0" applyBorder="1"/>
    <xf numFmtId="170" fontId="0" fillId="0" borderId="0" xfId="0" applyNumberFormat="1" applyBorder="1"/>
    <xf numFmtId="10" fontId="0" fillId="0" borderId="0" xfId="0" applyNumberFormat="1" applyBorder="1"/>
    <xf numFmtId="0" fontId="0" fillId="0" borderId="7" xfId="0" applyBorder="1"/>
    <xf numFmtId="170" fontId="0" fillId="0" borderId="8" xfId="0" applyNumberFormat="1" applyBorder="1"/>
    <xf numFmtId="0" fontId="0" fillId="0" borderId="9" xfId="0" applyBorder="1"/>
    <xf numFmtId="0" fontId="0" fillId="0" borderId="10" xfId="0" applyBorder="1"/>
    <xf numFmtId="10" fontId="0" fillId="0" borderId="10" xfId="0" applyNumberFormat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5" fillId="2" borderId="0" xfId="0" applyFont="1" applyFill="1"/>
    <xf numFmtId="170" fontId="0" fillId="0" borderId="2" xfId="0" applyNumberFormat="1" applyBorder="1"/>
    <xf numFmtId="170" fontId="0" fillId="0" borderId="3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pivotButton="1" applyBorder="1"/>
    <xf numFmtId="0" fontId="0" fillId="0" borderId="17" xfId="0" applyBorder="1"/>
    <xf numFmtId="0" fontId="0" fillId="0" borderId="16" xfId="0" applyBorder="1" applyAlignment="1">
      <alignment horizontal="left"/>
    </xf>
    <xf numFmtId="10" fontId="0" fillId="0" borderId="17" xfId="0" applyNumberFormat="1" applyBorder="1"/>
    <xf numFmtId="0" fontId="0" fillId="0" borderId="18" xfId="0" applyBorder="1" applyAlignment="1">
      <alignment horizontal="left"/>
    </xf>
    <xf numFmtId="10" fontId="0" fillId="0" borderId="19" xfId="0" applyNumberFormat="1" applyBorder="1"/>
    <xf numFmtId="0" fontId="0" fillId="0" borderId="20" xfId="0" applyBorder="1" applyAlignment="1">
      <alignment horizontal="left"/>
    </xf>
    <xf numFmtId="170" fontId="0" fillId="0" borderId="21" xfId="0" applyNumberFormat="1" applyBorder="1"/>
    <xf numFmtId="10" fontId="0" fillId="0" borderId="22" xfId="0" applyNumberFormat="1" applyBorder="1"/>
    <xf numFmtId="0" fontId="0" fillId="0" borderId="21" xfId="0" applyNumberFormat="1" applyBorder="1"/>
    <xf numFmtId="0" fontId="0" fillId="0" borderId="23" xfId="0" applyNumberFormat="1" applyBorder="1"/>
    <xf numFmtId="0" fontId="4" fillId="3" borderId="4" xfId="0" applyFont="1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0" xfId="0" applyFill="1" applyBorder="1"/>
  </cellXfs>
  <cellStyles count="1">
    <cellStyle name="Normal" xfId="0" builtinId="0"/>
  </cellStyles>
  <dxfs count="37"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Vs. Predicted Tip Amounts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tips!$P$2:$P$245</c:f>
              <c:numCache>
                <c:formatCode>General</c:formatCode>
                <c:ptCount val="244"/>
                <c:pt idx="0">
                  <c:v>1</c:v>
                </c:pt>
                <c:pt idx="1">
                  <c:v>1</c:v>
                </c:pt>
                <c:pt idx="2">
                  <c:v>5.15</c:v>
                </c:pt>
                <c:pt idx="3">
                  <c:v>1</c:v>
                </c:pt>
                <c:pt idx="4">
                  <c:v>2</c:v>
                </c:pt>
                <c:pt idx="5">
                  <c:v>1.44</c:v>
                </c:pt>
                <c:pt idx="6">
                  <c:v>1.44</c:v>
                </c:pt>
                <c:pt idx="7">
                  <c:v>1.5</c:v>
                </c:pt>
                <c:pt idx="8">
                  <c:v>1.25</c:v>
                </c:pt>
                <c:pt idx="9">
                  <c:v>1.48</c:v>
                </c:pt>
                <c:pt idx="10">
                  <c:v>1.92</c:v>
                </c:pt>
                <c:pt idx="11">
                  <c:v>2</c:v>
                </c:pt>
                <c:pt idx="12">
                  <c:v>1.45</c:v>
                </c:pt>
                <c:pt idx="13">
                  <c:v>4</c:v>
                </c:pt>
                <c:pt idx="14">
                  <c:v>1.32</c:v>
                </c:pt>
                <c:pt idx="15">
                  <c:v>1.73</c:v>
                </c:pt>
                <c:pt idx="16">
                  <c:v>1.56</c:v>
                </c:pt>
                <c:pt idx="17">
                  <c:v>1.25</c:v>
                </c:pt>
                <c:pt idx="18">
                  <c:v>1.83</c:v>
                </c:pt>
                <c:pt idx="19">
                  <c:v>2</c:v>
                </c:pt>
                <c:pt idx="20">
                  <c:v>1.71</c:v>
                </c:pt>
                <c:pt idx="21">
                  <c:v>2.6</c:v>
                </c:pt>
                <c:pt idx="22">
                  <c:v>1.67</c:v>
                </c:pt>
                <c:pt idx="23">
                  <c:v>2</c:v>
                </c:pt>
                <c:pt idx="24">
                  <c:v>1.66</c:v>
                </c:pt>
                <c:pt idx="25">
                  <c:v>2</c:v>
                </c:pt>
                <c:pt idx="26">
                  <c:v>1.25</c:v>
                </c:pt>
                <c:pt idx="27">
                  <c:v>1.61</c:v>
                </c:pt>
                <c:pt idx="28">
                  <c:v>2</c:v>
                </c:pt>
                <c:pt idx="29">
                  <c:v>1.5</c:v>
                </c:pt>
                <c:pt idx="30">
                  <c:v>1.47</c:v>
                </c:pt>
                <c:pt idx="31">
                  <c:v>1.98</c:v>
                </c:pt>
                <c:pt idx="32">
                  <c:v>1.5</c:v>
                </c:pt>
                <c:pt idx="33">
                  <c:v>1.76</c:v>
                </c:pt>
                <c:pt idx="34">
                  <c:v>2.5</c:v>
                </c:pt>
                <c:pt idx="35">
                  <c:v>2</c:v>
                </c:pt>
                <c:pt idx="36">
                  <c:v>1.5</c:v>
                </c:pt>
                <c:pt idx="37">
                  <c:v>3.39</c:v>
                </c:pt>
                <c:pt idx="38">
                  <c:v>2.31</c:v>
                </c:pt>
                <c:pt idx="39">
                  <c:v>1.63</c:v>
                </c:pt>
                <c:pt idx="40">
                  <c:v>1.97</c:v>
                </c:pt>
                <c:pt idx="41">
                  <c:v>1.5</c:v>
                </c:pt>
                <c:pt idx="42">
                  <c:v>2.2000000000000002</c:v>
                </c:pt>
                <c:pt idx="43">
                  <c:v>2</c:v>
                </c:pt>
                <c:pt idx="44">
                  <c:v>1.8</c:v>
                </c:pt>
                <c:pt idx="45">
                  <c:v>1.5</c:v>
                </c:pt>
                <c:pt idx="46">
                  <c:v>2.52</c:v>
                </c:pt>
                <c:pt idx="47">
                  <c:v>2.5</c:v>
                </c:pt>
                <c:pt idx="48">
                  <c:v>1</c:v>
                </c:pt>
                <c:pt idx="49">
                  <c:v>2.5</c:v>
                </c:pt>
                <c:pt idx="50">
                  <c:v>2</c:v>
                </c:pt>
                <c:pt idx="51">
                  <c:v>2.0099999999999998</c:v>
                </c:pt>
                <c:pt idx="52">
                  <c:v>2.23</c:v>
                </c:pt>
                <c:pt idx="53">
                  <c:v>1.1000000000000001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2.75</c:v>
                </c:pt>
                <c:pt idx="59">
                  <c:v>2.5</c:v>
                </c:pt>
                <c:pt idx="60">
                  <c:v>2.72</c:v>
                </c:pt>
                <c:pt idx="61">
                  <c:v>2</c:v>
                </c:pt>
                <c:pt idx="62">
                  <c:v>2.61</c:v>
                </c:pt>
                <c:pt idx="63">
                  <c:v>3.48</c:v>
                </c:pt>
                <c:pt idx="64">
                  <c:v>1.58</c:v>
                </c:pt>
                <c:pt idx="65">
                  <c:v>1.68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3.06</c:v>
                </c:pt>
                <c:pt idx="70">
                  <c:v>3</c:v>
                </c:pt>
                <c:pt idx="71">
                  <c:v>2.5</c:v>
                </c:pt>
                <c:pt idx="72">
                  <c:v>2</c:v>
                </c:pt>
                <c:pt idx="73">
                  <c:v>2.5</c:v>
                </c:pt>
                <c:pt idx="74">
                  <c:v>4</c:v>
                </c:pt>
                <c:pt idx="75">
                  <c:v>2</c:v>
                </c:pt>
                <c:pt idx="76">
                  <c:v>2</c:v>
                </c:pt>
                <c:pt idx="77">
                  <c:v>2.2000000000000002</c:v>
                </c:pt>
                <c:pt idx="78">
                  <c:v>3.23</c:v>
                </c:pt>
                <c:pt idx="79">
                  <c:v>3.02</c:v>
                </c:pt>
                <c:pt idx="80">
                  <c:v>2.09</c:v>
                </c:pt>
                <c:pt idx="81">
                  <c:v>1.96</c:v>
                </c:pt>
                <c:pt idx="82">
                  <c:v>3</c:v>
                </c:pt>
                <c:pt idx="83">
                  <c:v>1.64</c:v>
                </c:pt>
                <c:pt idx="84">
                  <c:v>3</c:v>
                </c:pt>
                <c:pt idx="85">
                  <c:v>1.57</c:v>
                </c:pt>
                <c:pt idx="86">
                  <c:v>2.02</c:v>
                </c:pt>
                <c:pt idx="87">
                  <c:v>3</c:v>
                </c:pt>
                <c:pt idx="88">
                  <c:v>1.5</c:v>
                </c:pt>
                <c:pt idx="89">
                  <c:v>3</c:v>
                </c:pt>
                <c:pt idx="90">
                  <c:v>2.23</c:v>
                </c:pt>
                <c:pt idx="91">
                  <c:v>3.16</c:v>
                </c:pt>
                <c:pt idx="92">
                  <c:v>2</c:v>
                </c:pt>
                <c:pt idx="93">
                  <c:v>2.0299999999999998</c:v>
                </c:pt>
                <c:pt idx="94">
                  <c:v>3</c:v>
                </c:pt>
                <c:pt idx="95">
                  <c:v>2</c:v>
                </c:pt>
                <c:pt idx="96">
                  <c:v>2.2400000000000002</c:v>
                </c:pt>
                <c:pt idx="97">
                  <c:v>2</c:v>
                </c:pt>
                <c:pt idx="98">
                  <c:v>2.5</c:v>
                </c:pt>
                <c:pt idx="99">
                  <c:v>3.71</c:v>
                </c:pt>
                <c:pt idx="100">
                  <c:v>2</c:v>
                </c:pt>
                <c:pt idx="101">
                  <c:v>4.3</c:v>
                </c:pt>
                <c:pt idx="102">
                  <c:v>2.5</c:v>
                </c:pt>
                <c:pt idx="103">
                  <c:v>2.2999999999999998</c:v>
                </c:pt>
                <c:pt idx="104">
                  <c:v>2.4700000000000002</c:v>
                </c:pt>
                <c:pt idx="105">
                  <c:v>3.23</c:v>
                </c:pt>
                <c:pt idx="106">
                  <c:v>2</c:v>
                </c:pt>
                <c:pt idx="107">
                  <c:v>4</c:v>
                </c:pt>
                <c:pt idx="108">
                  <c:v>3.4</c:v>
                </c:pt>
                <c:pt idx="109">
                  <c:v>4</c:v>
                </c:pt>
                <c:pt idx="110">
                  <c:v>3.07</c:v>
                </c:pt>
                <c:pt idx="111">
                  <c:v>3.5</c:v>
                </c:pt>
                <c:pt idx="112">
                  <c:v>1.01</c:v>
                </c:pt>
                <c:pt idx="113">
                  <c:v>3</c:v>
                </c:pt>
                <c:pt idx="114">
                  <c:v>2.74</c:v>
                </c:pt>
                <c:pt idx="115">
                  <c:v>2.71</c:v>
                </c:pt>
                <c:pt idx="116">
                  <c:v>3.5</c:v>
                </c:pt>
                <c:pt idx="117">
                  <c:v>2.54</c:v>
                </c:pt>
                <c:pt idx="118">
                  <c:v>3.5</c:v>
                </c:pt>
                <c:pt idx="119">
                  <c:v>3</c:v>
                </c:pt>
                <c:pt idx="120">
                  <c:v>2.64</c:v>
                </c:pt>
                <c:pt idx="121">
                  <c:v>3.27</c:v>
                </c:pt>
                <c:pt idx="122">
                  <c:v>2.34</c:v>
                </c:pt>
                <c:pt idx="123">
                  <c:v>1.75</c:v>
                </c:pt>
                <c:pt idx="124">
                  <c:v>2</c:v>
                </c:pt>
                <c:pt idx="125">
                  <c:v>4.08</c:v>
                </c:pt>
                <c:pt idx="126">
                  <c:v>3.08</c:v>
                </c:pt>
                <c:pt idx="127">
                  <c:v>3</c:v>
                </c:pt>
                <c:pt idx="128">
                  <c:v>3.5</c:v>
                </c:pt>
                <c:pt idx="129">
                  <c:v>3.76</c:v>
                </c:pt>
                <c:pt idx="130">
                  <c:v>3.25</c:v>
                </c:pt>
                <c:pt idx="131">
                  <c:v>4</c:v>
                </c:pt>
                <c:pt idx="132">
                  <c:v>3</c:v>
                </c:pt>
                <c:pt idx="133">
                  <c:v>3.76</c:v>
                </c:pt>
                <c:pt idx="134">
                  <c:v>2.5</c:v>
                </c:pt>
                <c:pt idx="135">
                  <c:v>3</c:v>
                </c:pt>
                <c:pt idx="136">
                  <c:v>1.36</c:v>
                </c:pt>
                <c:pt idx="137">
                  <c:v>2.31</c:v>
                </c:pt>
                <c:pt idx="138">
                  <c:v>4</c:v>
                </c:pt>
                <c:pt idx="139">
                  <c:v>3</c:v>
                </c:pt>
                <c:pt idx="140">
                  <c:v>1.5</c:v>
                </c:pt>
                <c:pt idx="141">
                  <c:v>3</c:v>
                </c:pt>
                <c:pt idx="142">
                  <c:v>3.51</c:v>
                </c:pt>
                <c:pt idx="143">
                  <c:v>3</c:v>
                </c:pt>
                <c:pt idx="144">
                  <c:v>2</c:v>
                </c:pt>
                <c:pt idx="145">
                  <c:v>4.1900000000000004</c:v>
                </c:pt>
                <c:pt idx="146">
                  <c:v>3.18</c:v>
                </c:pt>
                <c:pt idx="147">
                  <c:v>3.15</c:v>
                </c:pt>
                <c:pt idx="148">
                  <c:v>2.0099999999999998</c:v>
                </c:pt>
                <c:pt idx="149">
                  <c:v>2.83</c:v>
                </c:pt>
                <c:pt idx="150">
                  <c:v>3.21</c:v>
                </c:pt>
                <c:pt idx="151">
                  <c:v>2.75</c:v>
                </c:pt>
                <c:pt idx="152">
                  <c:v>3</c:v>
                </c:pt>
                <c:pt idx="153">
                  <c:v>4.0599999999999996</c:v>
                </c:pt>
                <c:pt idx="154">
                  <c:v>4</c:v>
                </c:pt>
                <c:pt idx="155">
                  <c:v>3.35</c:v>
                </c:pt>
                <c:pt idx="156">
                  <c:v>2.4500000000000002</c:v>
                </c:pt>
                <c:pt idx="157">
                  <c:v>5</c:v>
                </c:pt>
                <c:pt idx="158">
                  <c:v>2.2400000000000002</c:v>
                </c:pt>
                <c:pt idx="159">
                  <c:v>3.5</c:v>
                </c:pt>
                <c:pt idx="160">
                  <c:v>4.08</c:v>
                </c:pt>
                <c:pt idx="161">
                  <c:v>3.5</c:v>
                </c:pt>
                <c:pt idx="162">
                  <c:v>3</c:v>
                </c:pt>
                <c:pt idx="163">
                  <c:v>3</c:v>
                </c:pt>
                <c:pt idx="164">
                  <c:v>3.5</c:v>
                </c:pt>
                <c:pt idx="165">
                  <c:v>3.92</c:v>
                </c:pt>
                <c:pt idx="166">
                  <c:v>4.3</c:v>
                </c:pt>
                <c:pt idx="167">
                  <c:v>2.88</c:v>
                </c:pt>
                <c:pt idx="168">
                  <c:v>5</c:v>
                </c:pt>
                <c:pt idx="169">
                  <c:v>3.48</c:v>
                </c:pt>
                <c:pt idx="170">
                  <c:v>3.5</c:v>
                </c:pt>
                <c:pt idx="171">
                  <c:v>2</c:v>
                </c:pt>
                <c:pt idx="172">
                  <c:v>3.25</c:v>
                </c:pt>
                <c:pt idx="173">
                  <c:v>3</c:v>
                </c:pt>
                <c:pt idx="174">
                  <c:v>2.1800000000000002</c:v>
                </c:pt>
                <c:pt idx="175">
                  <c:v>4</c:v>
                </c:pt>
                <c:pt idx="176">
                  <c:v>6.5</c:v>
                </c:pt>
                <c:pt idx="177">
                  <c:v>5.65</c:v>
                </c:pt>
                <c:pt idx="178">
                  <c:v>3.31</c:v>
                </c:pt>
                <c:pt idx="179">
                  <c:v>2.5499999999999998</c:v>
                </c:pt>
                <c:pt idx="180">
                  <c:v>2</c:v>
                </c:pt>
                <c:pt idx="181">
                  <c:v>3.6</c:v>
                </c:pt>
                <c:pt idx="182">
                  <c:v>2.92</c:v>
                </c:pt>
                <c:pt idx="183">
                  <c:v>2.0299999999999998</c:v>
                </c:pt>
                <c:pt idx="184">
                  <c:v>3.48</c:v>
                </c:pt>
                <c:pt idx="185">
                  <c:v>2</c:v>
                </c:pt>
                <c:pt idx="186">
                  <c:v>3.61</c:v>
                </c:pt>
                <c:pt idx="187">
                  <c:v>5.85</c:v>
                </c:pt>
                <c:pt idx="188">
                  <c:v>3.75</c:v>
                </c:pt>
                <c:pt idx="189">
                  <c:v>4.29</c:v>
                </c:pt>
                <c:pt idx="190">
                  <c:v>5</c:v>
                </c:pt>
                <c:pt idx="191">
                  <c:v>4.71</c:v>
                </c:pt>
                <c:pt idx="192">
                  <c:v>4.34</c:v>
                </c:pt>
                <c:pt idx="193">
                  <c:v>4</c:v>
                </c:pt>
                <c:pt idx="194">
                  <c:v>5.16</c:v>
                </c:pt>
                <c:pt idx="195">
                  <c:v>1.5</c:v>
                </c:pt>
                <c:pt idx="196">
                  <c:v>3.41</c:v>
                </c:pt>
                <c:pt idx="197">
                  <c:v>3.14</c:v>
                </c:pt>
                <c:pt idx="198">
                  <c:v>3.12</c:v>
                </c:pt>
                <c:pt idx="199">
                  <c:v>5</c:v>
                </c:pt>
                <c:pt idx="200">
                  <c:v>2</c:v>
                </c:pt>
                <c:pt idx="201">
                  <c:v>4</c:v>
                </c:pt>
                <c:pt idx="202">
                  <c:v>4</c:v>
                </c:pt>
                <c:pt idx="203">
                  <c:v>3</c:v>
                </c:pt>
                <c:pt idx="204">
                  <c:v>6.5</c:v>
                </c:pt>
                <c:pt idx="205">
                  <c:v>2.56</c:v>
                </c:pt>
                <c:pt idx="206">
                  <c:v>2.0499999999999998</c:v>
                </c:pt>
                <c:pt idx="207">
                  <c:v>3</c:v>
                </c:pt>
                <c:pt idx="208">
                  <c:v>5.92</c:v>
                </c:pt>
                <c:pt idx="209">
                  <c:v>4.2</c:v>
                </c:pt>
                <c:pt idx="210">
                  <c:v>5.14</c:v>
                </c:pt>
                <c:pt idx="211">
                  <c:v>5.07</c:v>
                </c:pt>
                <c:pt idx="212">
                  <c:v>2</c:v>
                </c:pt>
                <c:pt idx="213">
                  <c:v>3.09</c:v>
                </c:pt>
                <c:pt idx="214">
                  <c:v>5.6</c:v>
                </c:pt>
                <c:pt idx="215">
                  <c:v>2</c:v>
                </c:pt>
                <c:pt idx="216">
                  <c:v>5</c:v>
                </c:pt>
                <c:pt idx="217">
                  <c:v>4.5</c:v>
                </c:pt>
                <c:pt idx="218">
                  <c:v>3.18</c:v>
                </c:pt>
                <c:pt idx="219">
                  <c:v>6</c:v>
                </c:pt>
                <c:pt idx="220">
                  <c:v>5</c:v>
                </c:pt>
                <c:pt idx="221">
                  <c:v>1.17</c:v>
                </c:pt>
                <c:pt idx="222">
                  <c:v>3.11</c:v>
                </c:pt>
                <c:pt idx="223">
                  <c:v>6.7</c:v>
                </c:pt>
                <c:pt idx="224">
                  <c:v>3.55</c:v>
                </c:pt>
                <c:pt idx="225">
                  <c:v>3.68</c:v>
                </c:pt>
                <c:pt idx="226">
                  <c:v>5.2</c:v>
                </c:pt>
                <c:pt idx="227">
                  <c:v>5.17</c:v>
                </c:pt>
                <c:pt idx="228">
                  <c:v>5</c:v>
                </c:pt>
                <c:pt idx="229">
                  <c:v>4.67</c:v>
                </c:pt>
                <c:pt idx="230">
                  <c:v>3</c:v>
                </c:pt>
                <c:pt idx="231">
                  <c:v>4</c:v>
                </c:pt>
                <c:pt idx="232">
                  <c:v>3</c:v>
                </c:pt>
                <c:pt idx="233">
                  <c:v>7.58</c:v>
                </c:pt>
                <c:pt idx="234">
                  <c:v>4.7300000000000004</c:v>
                </c:pt>
                <c:pt idx="235">
                  <c:v>3</c:v>
                </c:pt>
                <c:pt idx="236">
                  <c:v>5</c:v>
                </c:pt>
                <c:pt idx="237">
                  <c:v>5</c:v>
                </c:pt>
                <c:pt idx="238">
                  <c:v>2.5</c:v>
                </c:pt>
                <c:pt idx="239">
                  <c:v>3.5</c:v>
                </c:pt>
                <c:pt idx="240">
                  <c:v>5</c:v>
                </c:pt>
                <c:pt idx="241">
                  <c:v>6.73</c:v>
                </c:pt>
                <c:pt idx="242">
                  <c:v>9</c:v>
                </c:pt>
                <c:pt idx="24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B-5D4F-8F2C-E6C022FBAA37}"/>
            </c:ext>
          </c:extLst>
        </c:ser>
        <c:ser>
          <c:idx val="3"/>
          <c:order val="1"/>
          <c:tx>
            <c:v>Predicted Average by Amount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tips!$S$2:$S$245</c:f>
              <c:numCache>
                <c:formatCode>"$"#,##0.00</c:formatCode>
                <c:ptCount val="244"/>
                <c:pt idx="0">
                  <c:v>2.6750863712205479</c:v>
                </c:pt>
                <c:pt idx="1">
                  <c:v>2.6717152966638293</c:v>
                </c:pt>
                <c:pt idx="2">
                  <c:v>2.8523745884479665</c:v>
                </c:pt>
                <c:pt idx="3">
                  <c:v>2.9552818213886538</c:v>
                </c:pt>
                <c:pt idx="4">
                  <c:v>2.9530824612596698</c:v>
                </c:pt>
                <c:pt idx="5">
                  <c:v>2.9040479096820868</c:v>
                </c:pt>
                <c:pt idx="6">
                  <c:v>2.9552818213886538</c:v>
                </c:pt>
                <c:pt idx="7">
                  <c:v>2.9519107468319357</c:v>
                </c:pt>
                <c:pt idx="8">
                  <c:v>2.7814300242005734</c:v>
                </c:pt>
                <c:pt idx="9">
                  <c:v>2.9519107468319357</c:v>
                </c:pt>
                <c:pt idx="10">
                  <c:v>3.0043163729662368</c:v>
                </c:pt>
                <c:pt idx="11">
                  <c:v>2.9436000646864029</c:v>
                </c:pt>
                <c:pt idx="12">
                  <c:v>2.8326639359071408</c:v>
                </c:pt>
                <c:pt idx="13">
                  <c:v>2.9552818213886538</c:v>
                </c:pt>
                <c:pt idx="14">
                  <c:v>2.9519107468319357</c:v>
                </c:pt>
                <c:pt idx="15">
                  <c:v>2.9519107468319357</c:v>
                </c:pt>
                <c:pt idx="16">
                  <c:v>2.8326639359071408</c:v>
                </c:pt>
                <c:pt idx="17">
                  <c:v>2.9006768351253682</c:v>
                </c:pt>
                <c:pt idx="18">
                  <c:v>2.903608500154534</c:v>
                </c:pt>
                <c:pt idx="19">
                  <c:v>2.9002374255978154</c:v>
                </c:pt>
                <c:pt idx="20">
                  <c:v>2.7814300242005734</c:v>
                </c:pt>
                <c:pt idx="21">
                  <c:v>2.8326639359071408</c:v>
                </c:pt>
                <c:pt idx="22">
                  <c:v>2.7814300242005734</c:v>
                </c:pt>
                <c:pt idx="23">
                  <c:v>2.7814300242005734</c:v>
                </c:pt>
                <c:pt idx="24">
                  <c:v>3.0076874475229554</c:v>
                </c:pt>
                <c:pt idx="25">
                  <c:v>2.9552818213886538</c:v>
                </c:pt>
                <c:pt idx="26">
                  <c:v>3.0043163729662368</c:v>
                </c:pt>
                <c:pt idx="27">
                  <c:v>3.0043163729662368</c:v>
                </c:pt>
                <c:pt idx="28">
                  <c:v>2.8286920563042663</c:v>
                </c:pt>
                <c:pt idx="29">
                  <c:v>2.9040479096820868</c:v>
                </c:pt>
                <c:pt idx="30">
                  <c:v>2.7814300242005734</c:v>
                </c:pt>
                <c:pt idx="31">
                  <c:v>2.9552818213886538</c:v>
                </c:pt>
                <c:pt idx="32">
                  <c:v>3.1664864134520667</c:v>
                </c:pt>
                <c:pt idx="33">
                  <c:v>3.1152525017454993</c:v>
                </c:pt>
                <c:pt idx="34">
                  <c:v>2.7814300242005734</c:v>
                </c:pt>
                <c:pt idx="35">
                  <c:v>3.0043163729662368</c:v>
                </c:pt>
                <c:pt idx="36">
                  <c:v>2.8326639359071408</c:v>
                </c:pt>
                <c:pt idx="37">
                  <c:v>2.9519107468319357</c:v>
                </c:pt>
                <c:pt idx="38">
                  <c:v>2.9552818213886538</c:v>
                </c:pt>
                <c:pt idx="39">
                  <c:v>2.7814300242005734</c:v>
                </c:pt>
                <c:pt idx="40">
                  <c:v>2.552468485739035</c:v>
                </c:pt>
                <c:pt idx="41">
                  <c:v>2.5997305178427279</c:v>
                </c:pt>
                <c:pt idx="42">
                  <c:v>3.0043163729662368</c:v>
                </c:pt>
                <c:pt idx="43">
                  <c:v>2.9519107468319357</c:v>
                </c:pt>
                <c:pt idx="44">
                  <c:v>2.9552818213886538</c:v>
                </c:pt>
                <c:pt idx="45">
                  <c:v>3.0043163729662368</c:v>
                </c:pt>
                <c:pt idx="46">
                  <c:v>2.9519107468319357</c:v>
                </c:pt>
                <c:pt idx="47">
                  <c:v>2.9519107468319357</c:v>
                </c:pt>
                <c:pt idx="48">
                  <c:v>2.9552818213886538</c:v>
                </c:pt>
                <c:pt idx="49">
                  <c:v>2.8326639359071408</c:v>
                </c:pt>
                <c:pt idx="50">
                  <c:v>2.8326639359071408</c:v>
                </c:pt>
                <c:pt idx="51">
                  <c:v>2.7814300242005734</c:v>
                </c:pt>
                <c:pt idx="52">
                  <c:v>2.7814300242005734</c:v>
                </c:pt>
                <c:pt idx="53">
                  <c:v>2.7814300242005734</c:v>
                </c:pt>
                <c:pt idx="54">
                  <c:v>2.7814300242005734</c:v>
                </c:pt>
                <c:pt idx="55">
                  <c:v>2.7814300242005734</c:v>
                </c:pt>
                <c:pt idx="56">
                  <c:v>2.836035010463859</c:v>
                </c:pt>
                <c:pt idx="57">
                  <c:v>2.8326639359071408</c:v>
                </c:pt>
                <c:pt idx="58">
                  <c:v>3.0043163729662368</c:v>
                </c:pt>
                <c:pt idx="59">
                  <c:v>3.0043163729662368</c:v>
                </c:pt>
                <c:pt idx="60">
                  <c:v>2.9040479096820868</c:v>
                </c:pt>
                <c:pt idx="61">
                  <c:v>3.0076874475229554</c:v>
                </c:pt>
                <c:pt idx="62">
                  <c:v>3.0076874475229554</c:v>
                </c:pt>
                <c:pt idx="63">
                  <c:v>2.836035010463859</c:v>
                </c:pt>
                <c:pt idx="64">
                  <c:v>2.784801098757292</c:v>
                </c:pt>
                <c:pt idx="65">
                  <c:v>2.836035010463859</c:v>
                </c:pt>
                <c:pt idx="66">
                  <c:v>2.784801098757292</c:v>
                </c:pt>
                <c:pt idx="67">
                  <c:v>2.7774581445976994</c:v>
                </c:pt>
                <c:pt idx="68">
                  <c:v>2.9040479096820868</c:v>
                </c:pt>
                <c:pt idx="69">
                  <c:v>2.9552818213886538</c:v>
                </c:pt>
                <c:pt idx="70">
                  <c:v>3.1140807873177652</c:v>
                </c:pt>
                <c:pt idx="71">
                  <c:v>3.1152525017454993</c:v>
                </c:pt>
                <c:pt idx="72">
                  <c:v>3.1174518618744838</c:v>
                </c:pt>
                <c:pt idx="73">
                  <c:v>3.3149359155857794</c:v>
                </c:pt>
                <c:pt idx="74">
                  <c:v>3.3149359155857794</c:v>
                </c:pt>
                <c:pt idx="75">
                  <c:v>3.3149359155857794</c:v>
                </c:pt>
                <c:pt idx="76">
                  <c:v>3.2659013640081964</c:v>
                </c:pt>
                <c:pt idx="77">
                  <c:v>3.2968259090614169</c:v>
                </c:pt>
                <c:pt idx="78">
                  <c:v>2.9519107468319357</c:v>
                </c:pt>
                <c:pt idx="79">
                  <c:v>2.784801098757292</c:v>
                </c:pt>
                <c:pt idx="80">
                  <c:v>2.836035010463859</c:v>
                </c:pt>
                <c:pt idx="81">
                  <c:v>2.8326639359071408</c:v>
                </c:pt>
                <c:pt idx="82">
                  <c:v>2.9552818213886538</c:v>
                </c:pt>
                <c:pt idx="83">
                  <c:v>3.1664864134520667</c:v>
                </c:pt>
                <c:pt idx="84">
                  <c:v>2.9552818213886538</c:v>
                </c:pt>
                <c:pt idx="85">
                  <c:v>2.9948339763929708</c:v>
                </c:pt>
                <c:pt idx="86">
                  <c:v>2.9006768351253682</c:v>
                </c:pt>
                <c:pt idx="87">
                  <c:v>2.8286920563042663</c:v>
                </c:pt>
                <c:pt idx="88">
                  <c:v>2.9006768351253682</c:v>
                </c:pt>
                <c:pt idx="89">
                  <c:v>2.9040479096820868</c:v>
                </c:pt>
                <c:pt idx="90">
                  <c:v>3.0043163729662368</c:v>
                </c:pt>
                <c:pt idx="91">
                  <c:v>3.1140807873177652</c:v>
                </c:pt>
                <c:pt idx="92">
                  <c:v>2.7814300242005734</c:v>
                </c:pt>
                <c:pt idx="93">
                  <c:v>2.8326639359071408</c:v>
                </c:pt>
                <c:pt idx="94">
                  <c:v>3.1140807873177652</c:v>
                </c:pt>
                <c:pt idx="95">
                  <c:v>3.2625302894514783</c:v>
                </c:pt>
                <c:pt idx="96">
                  <c:v>3.2112963777449104</c:v>
                </c:pt>
                <c:pt idx="97">
                  <c:v>2.9006768351253682</c:v>
                </c:pt>
                <c:pt idx="98">
                  <c:v>3.0043163729662368</c:v>
                </c:pt>
                <c:pt idx="99">
                  <c:v>2.8523745884479665</c:v>
                </c:pt>
                <c:pt idx="100">
                  <c:v>2.8326639359071408</c:v>
                </c:pt>
                <c:pt idx="101">
                  <c:v>3.0043163729662368</c:v>
                </c:pt>
                <c:pt idx="102">
                  <c:v>3.0043163729662368</c:v>
                </c:pt>
                <c:pt idx="103">
                  <c:v>2.784801098757292</c:v>
                </c:pt>
                <c:pt idx="104">
                  <c:v>2.9040479096820868</c:v>
                </c:pt>
                <c:pt idx="105">
                  <c:v>2.7774581445976994</c:v>
                </c:pt>
                <c:pt idx="106">
                  <c:v>3.0662179501679163</c:v>
                </c:pt>
                <c:pt idx="107">
                  <c:v>3.2625302894514783</c:v>
                </c:pt>
                <c:pt idx="108">
                  <c:v>2.7814300242005734</c:v>
                </c:pt>
                <c:pt idx="109">
                  <c:v>3.0043163729662368</c:v>
                </c:pt>
                <c:pt idx="110">
                  <c:v>3.0043163729662368</c:v>
                </c:pt>
                <c:pt idx="111">
                  <c:v>2.836035010463859</c:v>
                </c:pt>
                <c:pt idx="112">
                  <c:v>2.9530824612596698</c:v>
                </c:pt>
                <c:pt idx="113">
                  <c:v>2.9530824612596698</c:v>
                </c:pt>
                <c:pt idx="114">
                  <c:v>3.1140807873177652</c:v>
                </c:pt>
                <c:pt idx="115">
                  <c:v>2.8326639359071408</c:v>
                </c:pt>
                <c:pt idx="116">
                  <c:v>2.9519107468319357</c:v>
                </c:pt>
                <c:pt idx="117">
                  <c:v>3.1664864134520667</c:v>
                </c:pt>
                <c:pt idx="118">
                  <c:v>2.9006768351253682</c:v>
                </c:pt>
                <c:pt idx="119">
                  <c:v>2.7814300242005734</c:v>
                </c:pt>
                <c:pt idx="120">
                  <c:v>2.7814300242005734</c:v>
                </c:pt>
                <c:pt idx="121">
                  <c:v>2.9040479096820868</c:v>
                </c:pt>
                <c:pt idx="122">
                  <c:v>3.0920495668201156</c:v>
                </c:pt>
                <c:pt idx="123">
                  <c:v>2.9006768351253682</c:v>
                </c:pt>
                <c:pt idx="124">
                  <c:v>2.9006768351253682</c:v>
                </c:pt>
                <c:pt idx="125">
                  <c:v>3.0043163729662368</c:v>
                </c:pt>
                <c:pt idx="126">
                  <c:v>3.0043163729662368</c:v>
                </c:pt>
                <c:pt idx="127">
                  <c:v>2.8326639359071408</c:v>
                </c:pt>
                <c:pt idx="128">
                  <c:v>2.836035010463859</c:v>
                </c:pt>
                <c:pt idx="129">
                  <c:v>2.8326639359071408</c:v>
                </c:pt>
                <c:pt idx="130">
                  <c:v>2.903608500154534</c:v>
                </c:pt>
                <c:pt idx="131">
                  <c:v>2.903608500154534</c:v>
                </c:pt>
                <c:pt idx="132">
                  <c:v>2.8523745884479665</c:v>
                </c:pt>
                <c:pt idx="133">
                  <c:v>2.9519107468319357</c:v>
                </c:pt>
                <c:pt idx="134">
                  <c:v>2.9564535358163879</c:v>
                </c:pt>
                <c:pt idx="135">
                  <c:v>3.0076874475229554</c:v>
                </c:pt>
                <c:pt idx="136">
                  <c:v>2.9552818213886538</c:v>
                </c:pt>
                <c:pt idx="137">
                  <c:v>2.856346468050841</c:v>
                </c:pt>
                <c:pt idx="138">
                  <c:v>3.0628468756111977</c:v>
                </c:pt>
                <c:pt idx="139">
                  <c:v>2.9362571105268107</c:v>
                </c:pt>
                <c:pt idx="140">
                  <c:v>3.1174518618744838</c:v>
                </c:pt>
                <c:pt idx="141">
                  <c:v>3.3149359155857794</c:v>
                </c:pt>
                <c:pt idx="142">
                  <c:v>3.2659013640081964</c:v>
                </c:pt>
                <c:pt idx="143">
                  <c:v>3.2659013640081964</c:v>
                </c:pt>
                <c:pt idx="144">
                  <c:v>3.2625302894514783</c:v>
                </c:pt>
                <c:pt idx="145">
                  <c:v>3.2444202829271154</c:v>
                </c:pt>
                <c:pt idx="146">
                  <c:v>2.9530824612596698</c:v>
                </c:pt>
                <c:pt idx="147">
                  <c:v>3.0043163729662368</c:v>
                </c:pt>
                <c:pt idx="148">
                  <c:v>3.0628468756111977</c:v>
                </c:pt>
                <c:pt idx="149">
                  <c:v>2.9552818213886538</c:v>
                </c:pt>
                <c:pt idx="150">
                  <c:v>3.2146674523016285</c:v>
                </c:pt>
                <c:pt idx="151">
                  <c:v>3.0076874475229554</c:v>
                </c:pt>
                <c:pt idx="152">
                  <c:v>3.3149359155857794</c:v>
                </c:pt>
                <c:pt idx="153">
                  <c:v>2.9040479096820868</c:v>
                </c:pt>
                <c:pt idx="154">
                  <c:v>3.1140807873177652</c:v>
                </c:pt>
                <c:pt idx="155">
                  <c:v>2.9552818213886538</c:v>
                </c:pt>
                <c:pt idx="156">
                  <c:v>2.9519107468319357</c:v>
                </c:pt>
                <c:pt idx="157">
                  <c:v>3.0076874475229554</c:v>
                </c:pt>
                <c:pt idx="158">
                  <c:v>2.9552818213886538</c:v>
                </c:pt>
                <c:pt idx="159">
                  <c:v>3.0043163729662368</c:v>
                </c:pt>
                <c:pt idx="160">
                  <c:v>2.9469711392431215</c:v>
                </c:pt>
                <c:pt idx="161">
                  <c:v>2.8490035138912484</c:v>
                </c:pt>
                <c:pt idx="162">
                  <c:v>2.7814300242005734</c:v>
                </c:pt>
                <c:pt idx="163">
                  <c:v>2.9519107468319357</c:v>
                </c:pt>
                <c:pt idx="164">
                  <c:v>3.0043163729662368</c:v>
                </c:pt>
                <c:pt idx="165">
                  <c:v>3.1140807873177652</c:v>
                </c:pt>
                <c:pt idx="166">
                  <c:v>2.9519107468319357</c:v>
                </c:pt>
                <c:pt idx="167">
                  <c:v>2.8326639359071408</c:v>
                </c:pt>
                <c:pt idx="168">
                  <c:v>3.1174518618744838</c:v>
                </c:pt>
                <c:pt idx="169">
                  <c:v>2.9040479096820868</c:v>
                </c:pt>
                <c:pt idx="170">
                  <c:v>2.7774581445976994</c:v>
                </c:pt>
                <c:pt idx="171">
                  <c:v>3.1664864134520667</c:v>
                </c:pt>
                <c:pt idx="172">
                  <c:v>2.9002374255978154</c:v>
                </c:pt>
                <c:pt idx="173">
                  <c:v>2.9530824612596698</c:v>
                </c:pt>
                <c:pt idx="174">
                  <c:v>2.7814300242005734</c:v>
                </c:pt>
                <c:pt idx="175">
                  <c:v>3.1664864134520667</c:v>
                </c:pt>
                <c:pt idx="176">
                  <c:v>3.1152525017454993</c:v>
                </c:pt>
                <c:pt idx="177">
                  <c:v>3.1698574880087849</c:v>
                </c:pt>
                <c:pt idx="178">
                  <c:v>3.1186235763022179</c:v>
                </c:pt>
                <c:pt idx="179">
                  <c:v>3.1186235763022179</c:v>
                </c:pt>
                <c:pt idx="180">
                  <c:v>3.3149359155857794</c:v>
                </c:pt>
                <c:pt idx="181">
                  <c:v>3.0043163729662368</c:v>
                </c:pt>
                <c:pt idx="182">
                  <c:v>3.0076874475229554</c:v>
                </c:pt>
                <c:pt idx="183">
                  <c:v>3.1140807873177652</c:v>
                </c:pt>
                <c:pt idx="184">
                  <c:v>3.2637020038792115</c:v>
                </c:pt>
                <c:pt idx="185">
                  <c:v>3.318306990142498</c:v>
                </c:pt>
                <c:pt idx="186">
                  <c:v>3.1664864134520667</c:v>
                </c:pt>
                <c:pt idx="187">
                  <c:v>3.2637020038792115</c:v>
                </c:pt>
                <c:pt idx="188">
                  <c:v>2.9519107468319357</c:v>
                </c:pt>
                <c:pt idx="189">
                  <c:v>3.2659013640081964</c:v>
                </c:pt>
                <c:pt idx="190">
                  <c:v>3.0043163729662368</c:v>
                </c:pt>
                <c:pt idx="191">
                  <c:v>2.8326639359071408</c:v>
                </c:pt>
                <c:pt idx="192">
                  <c:v>2.903608500154534</c:v>
                </c:pt>
                <c:pt idx="193">
                  <c:v>2.9040479096820868</c:v>
                </c:pt>
                <c:pt idx="194">
                  <c:v>3.0076874475229554</c:v>
                </c:pt>
                <c:pt idx="195">
                  <c:v>2.9564535358163879</c:v>
                </c:pt>
                <c:pt idx="196">
                  <c:v>2.836035010463859</c:v>
                </c:pt>
                <c:pt idx="197">
                  <c:v>3.1664864134520667</c:v>
                </c:pt>
                <c:pt idx="198">
                  <c:v>3.1152525017454993</c:v>
                </c:pt>
                <c:pt idx="199">
                  <c:v>3.1698574880087849</c:v>
                </c:pt>
                <c:pt idx="200">
                  <c:v>2.9982050509496889</c:v>
                </c:pt>
                <c:pt idx="201">
                  <c:v>3.1432834785266834</c:v>
                </c:pt>
                <c:pt idx="202">
                  <c:v>3.146654553083402</c:v>
                </c:pt>
                <c:pt idx="203">
                  <c:v>2.9552818213886538</c:v>
                </c:pt>
                <c:pt idx="204">
                  <c:v>2.9519107468319357</c:v>
                </c:pt>
                <c:pt idx="205">
                  <c:v>2.9006768351253682</c:v>
                </c:pt>
                <c:pt idx="206">
                  <c:v>2.784801098757292</c:v>
                </c:pt>
                <c:pt idx="207">
                  <c:v>3.3099684857390343</c:v>
                </c:pt>
                <c:pt idx="208">
                  <c:v>2.9552818213886538</c:v>
                </c:pt>
                <c:pt idx="209">
                  <c:v>2.9519107468319357</c:v>
                </c:pt>
                <c:pt idx="210">
                  <c:v>2.8523745884479665</c:v>
                </c:pt>
                <c:pt idx="211">
                  <c:v>3.3149359155857794</c:v>
                </c:pt>
                <c:pt idx="212">
                  <c:v>3.3149359155857794</c:v>
                </c:pt>
                <c:pt idx="213">
                  <c:v>3.0628468756111977</c:v>
                </c:pt>
                <c:pt idx="214">
                  <c:v>3.3149359155857794</c:v>
                </c:pt>
                <c:pt idx="215">
                  <c:v>3.2142280427740766</c:v>
                </c:pt>
                <c:pt idx="216">
                  <c:v>3.0043163729662368</c:v>
                </c:pt>
                <c:pt idx="217">
                  <c:v>2.9040479096820868</c:v>
                </c:pt>
                <c:pt idx="218">
                  <c:v>2.836035010463859</c:v>
                </c:pt>
                <c:pt idx="219">
                  <c:v>3.1140807873177652</c:v>
                </c:pt>
                <c:pt idx="220">
                  <c:v>3.2637020038792115</c:v>
                </c:pt>
                <c:pt idx="221">
                  <c:v>3.0954206413768341</c:v>
                </c:pt>
                <c:pt idx="222">
                  <c:v>3.1218023974456024</c:v>
                </c:pt>
                <c:pt idx="223">
                  <c:v>3.2934548345046983</c:v>
                </c:pt>
                <c:pt idx="224">
                  <c:v>3.3099684857390343</c:v>
                </c:pt>
                <c:pt idx="225">
                  <c:v>3.5328548345046982</c:v>
                </c:pt>
                <c:pt idx="226">
                  <c:v>3.3149359155857794</c:v>
                </c:pt>
                <c:pt idx="227">
                  <c:v>3.2422209227981313</c:v>
                </c:pt>
                <c:pt idx="228">
                  <c:v>3.0076874475229554</c:v>
                </c:pt>
                <c:pt idx="229">
                  <c:v>3.2659013640081964</c:v>
                </c:pt>
                <c:pt idx="230">
                  <c:v>3.0920495668201156</c:v>
                </c:pt>
                <c:pt idx="231">
                  <c:v>3.2637020038792115</c:v>
                </c:pt>
                <c:pt idx="232">
                  <c:v>3.3149359155857794</c:v>
                </c:pt>
                <c:pt idx="233">
                  <c:v>3.0076874475229554</c:v>
                </c:pt>
                <c:pt idx="234">
                  <c:v>2.8326639359071408</c:v>
                </c:pt>
                <c:pt idx="235">
                  <c:v>3.1140807873177652</c:v>
                </c:pt>
                <c:pt idx="236">
                  <c:v>3.3149359155857794</c:v>
                </c:pt>
                <c:pt idx="237">
                  <c:v>3.0662179501679163</c:v>
                </c:pt>
                <c:pt idx="238">
                  <c:v>3.318306990142498</c:v>
                </c:pt>
                <c:pt idx="239">
                  <c:v>3.3612023974456022</c:v>
                </c:pt>
                <c:pt idx="240">
                  <c:v>3.2625302894514783</c:v>
                </c:pt>
                <c:pt idx="241">
                  <c:v>3.2625302894514783</c:v>
                </c:pt>
                <c:pt idx="242">
                  <c:v>3.2625302894514783</c:v>
                </c:pt>
                <c:pt idx="243">
                  <c:v>3.1174518618744838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7B-5D4F-8F2C-E6C022FBAA37}"/>
            </c:ext>
          </c:extLst>
        </c:ser>
        <c:ser>
          <c:idx val="4"/>
          <c:order val="2"/>
          <c:tx>
            <c:v>Predicted Average by Percent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tips!$T$2:$T$245</c:f>
              <c:numCache>
                <c:formatCode>"$"#,##0.00</c:formatCode>
                <c:ptCount val="244"/>
                <c:pt idx="0">
                  <c:v>0.52782405719507075</c:v>
                </c:pt>
                <c:pt idx="1">
                  <c:v>0.92483907972210311</c:v>
                </c:pt>
                <c:pt idx="2">
                  <c:v>1.1960133458101374</c:v>
                </c:pt>
                <c:pt idx="3">
                  <c:v>1.2336717628292133</c:v>
                </c:pt>
                <c:pt idx="4">
                  <c:v>1.2285661049915693</c:v>
                </c:pt>
                <c:pt idx="5">
                  <c:v>1.2218101225366989</c:v>
                </c:pt>
                <c:pt idx="6">
                  <c:v>1.2372162266654307</c:v>
                </c:pt>
                <c:pt idx="7">
                  <c:v>1.3282640691634484</c:v>
                </c:pt>
                <c:pt idx="8">
                  <c:v>1.3904352029373501</c:v>
                </c:pt>
                <c:pt idx="9">
                  <c:v>1.3553065711703689</c:v>
                </c:pt>
                <c:pt idx="10">
                  <c:v>1.4769373472597223</c:v>
                </c:pt>
                <c:pt idx="11">
                  <c:v>1.4329161844607003</c:v>
                </c:pt>
                <c:pt idx="12">
                  <c:v>1.5434743674207132</c:v>
                </c:pt>
                <c:pt idx="13">
                  <c:v>1.5345317540036347</c:v>
                </c:pt>
                <c:pt idx="14">
                  <c:v>1.5398318789822971</c:v>
                </c:pt>
                <c:pt idx="15">
                  <c:v>1.555739233104015</c:v>
                </c:pt>
                <c:pt idx="16">
                  <c:v>1.6065063049384176</c:v>
                </c:pt>
                <c:pt idx="17">
                  <c:v>1.6196747013567963</c:v>
                </c:pt>
                <c:pt idx="18">
                  <c:v>1.7472848212284036</c:v>
                </c:pt>
                <c:pt idx="19">
                  <c:v>1.6388763591949647</c:v>
                </c:pt>
                <c:pt idx="20">
                  <c:v>1.6779987701723367</c:v>
                </c:pt>
                <c:pt idx="21">
                  <c:v>1.6630734283517421</c:v>
                </c:pt>
                <c:pt idx="22">
                  <c:v>1.6597822853635318</c:v>
                </c:pt>
                <c:pt idx="23">
                  <c:v>1.6878020736008021</c:v>
                </c:pt>
                <c:pt idx="24">
                  <c:v>1.6531975024810375</c:v>
                </c:pt>
                <c:pt idx="25">
                  <c:v>1.6528185767080816</c:v>
                </c:pt>
                <c:pt idx="26">
                  <c:v>1.7007561062555312</c:v>
                </c:pt>
                <c:pt idx="27">
                  <c:v>1.7137019186723192</c:v>
                </c:pt>
                <c:pt idx="28">
                  <c:v>1.7446099298182471</c:v>
                </c:pt>
                <c:pt idx="29">
                  <c:v>1.7212007678592387</c:v>
                </c:pt>
                <c:pt idx="30">
                  <c:v>1.7596929654095488</c:v>
                </c:pt>
                <c:pt idx="31">
                  <c:v>1.7615145759500057</c:v>
                </c:pt>
                <c:pt idx="32">
                  <c:v>1.8075590586940327</c:v>
                </c:pt>
                <c:pt idx="33">
                  <c:v>1.8387593901604844</c:v>
                </c:pt>
                <c:pt idx="34">
                  <c:v>1.8544582318847147</c:v>
                </c:pt>
                <c:pt idx="35">
                  <c:v>1.8415418162881014</c:v>
                </c:pt>
                <c:pt idx="36">
                  <c:v>1.8731798867440905</c:v>
                </c:pt>
                <c:pt idx="37">
                  <c:v>1.8468438135314533</c:v>
                </c:pt>
                <c:pt idx="38">
                  <c:v>1.8686121046148427</c:v>
                </c:pt>
                <c:pt idx="39">
                  <c:v>1.9394201949314154</c:v>
                </c:pt>
                <c:pt idx="40">
                  <c:v>1.9639284535025789</c:v>
                </c:pt>
                <c:pt idx="41">
                  <c:v>1.9743798170944036</c:v>
                </c:pt>
                <c:pt idx="42">
                  <c:v>1.9677634873517849</c:v>
                </c:pt>
                <c:pt idx="43">
                  <c:v>1.9502416153226201</c:v>
                </c:pt>
                <c:pt idx="44">
                  <c:v>1.9868989273192896</c:v>
                </c:pt>
                <c:pt idx="45">
                  <c:v>2.0163102839147404</c:v>
                </c:pt>
                <c:pt idx="46">
                  <c:v>1.9852377943903996</c:v>
                </c:pt>
                <c:pt idx="47">
                  <c:v>1.9947822068634302</c:v>
                </c:pt>
                <c:pt idx="48">
                  <c:v>2.0140729271297708</c:v>
                </c:pt>
                <c:pt idx="49">
                  <c:v>2.0461136640362541</c:v>
                </c:pt>
                <c:pt idx="50">
                  <c:v>2.0509622746145393</c:v>
                </c:pt>
                <c:pt idx="51">
                  <c:v>2.0815680946441644</c:v>
                </c:pt>
                <c:pt idx="52">
                  <c:v>2.0848358624536529</c:v>
                </c:pt>
                <c:pt idx="53">
                  <c:v>2.1077102371200724</c:v>
                </c:pt>
                <c:pt idx="54">
                  <c:v>2.1240490761675148</c:v>
                </c:pt>
                <c:pt idx="55">
                  <c:v>2.1240490761675148</c:v>
                </c:pt>
                <c:pt idx="56">
                  <c:v>2.1159921143864375</c:v>
                </c:pt>
                <c:pt idx="57">
                  <c:v>2.1220752297627188</c:v>
                </c:pt>
                <c:pt idx="58">
                  <c:v>2.1295861425616356</c:v>
                </c:pt>
                <c:pt idx="59">
                  <c:v>2.147386634634719</c:v>
                </c:pt>
                <c:pt idx="60">
                  <c:v>2.1462484692179049</c:v>
                </c:pt>
                <c:pt idx="61">
                  <c:v>2.1739108156474938</c:v>
                </c:pt>
                <c:pt idx="62">
                  <c:v>2.1771627390815218</c:v>
                </c:pt>
                <c:pt idx="63">
                  <c:v>2.1793257233358401</c:v>
                </c:pt>
                <c:pt idx="64">
                  <c:v>2.2030527914831395</c:v>
                </c:pt>
                <c:pt idx="65">
                  <c:v>2.1793257233358401</c:v>
                </c:pt>
                <c:pt idx="66">
                  <c:v>2.2178273631100756</c:v>
                </c:pt>
                <c:pt idx="67">
                  <c:v>2.2909324195458516</c:v>
                </c:pt>
                <c:pt idx="68">
                  <c:v>2.231904469871933</c:v>
                </c:pt>
                <c:pt idx="69">
                  <c:v>2.2282679844594449</c:v>
                </c:pt>
                <c:pt idx="70">
                  <c:v>2.2270295770405122</c:v>
                </c:pt>
                <c:pt idx="71">
                  <c:v>2.3017210515621009</c:v>
                </c:pt>
                <c:pt idx="72">
                  <c:v>2.2618358665782745</c:v>
                </c:pt>
                <c:pt idx="73">
                  <c:v>2.3075910632924712</c:v>
                </c:pt>
                <c:pt idx="74">
                  <c:v>2.3156821960529639</c:v>
                </c:pt>
                <c:pt idx="75">
                  <c:v>2.3431920474386385</c:v>
                </c:pt>
                <c:pt idx="76">
                  <c:v>2.3209792779304976</c:v>
                </c:pt>
                <c:pt idx="77">
                  <c:v>2.3950416091613751</c:v>
                </c:pt>
                <c:pt idx="78">
                  <c:v>2.3511069391899122</c:v>
                </c:pt>
                <c:pt idx="79">
                  <c:v>2.4345210803051383</c:v>
                </c:pt>
                <c:pt idx="80">
                  <c:v>2.4375319752064795</c:v>
                </c:pt>
                <c:pt idx="81">
                  <c:v>2.4307701032468612</c:v>
                </c:pt>
                <c:pt idx="82">
                  <c:v>2.4072966890932022</c:v>
                </c:pt>
                <c:pt idx="83">
                  <c:v>2.4855959840233073</c:v>
                </c:pt>
                <c:pt idx="84">
                  <c:v>2.45844774755999</c:v>
                </c:pt>
                <c:pt idx="85">
                  <c:v>2.4921858372384706</c:v>
                </c:pt>
                <c:pt idx="86">
                  <c:v>2.4898276441909837</c:v>
                </c:pt>
                <c:pt idx="87">
                  <c:v>2.5488045352847957</c:v>
                </c:pt>
                <c:pt idx="88">
                  <c:v>2.5236043757982256</c:v>
                </c:pt>
                <c:pt idx="89">
                  <c:v>2.4931822360515556</c:v>
                </c:pt>
                <c:pt idx="90">
                  <c:v>2.5519432726593458</c:v>
                </c:pt>
                <c:pt idx="91">
                  <c:v>2.5149526866436074</c:v>
                </c:pt>
                <c:pt idx="92">
                  <c:v>2.6060448280670663</c:v>
                </c:pt>
                <c:pt idx="93">
                  <c:v>2.5826932346997902</c:v>
                </c:pt>
                <c:pt idx="94">
                  <c:v>2.4986499596058453</c:v>
                </c:pt>
                <c:pt idx="95">
                  <c:v>2.5451766594748713</c:v>
                </c:pt>
                <c:pt idx="96">
                  <c:v>2.5363909513883067</c:v>
                </c:pt>
                <c:pt idx="97">
                  <c:v>2.5632729003743426</c:v>
                </c:pt>
                <c:pt idx="98">
                  <c:v>2.6328546002642712</c:v>
                </c:pt>
                <c:pt idx="99">
                  <c:v>2.6431321685783051</c:v>
                </c:pt>
                <c:pt idx="100">
                  <c:v>2.5917876077743927</c:v>
                </c:pt>
                <c:pt idx="101">
                  <c:v>2.6409457330247639</c:v>
                </c:pt>
                <c:pt idx="102">
                  <c:v>2.6538915454415517</c:v>
                </c:pt>
                <c:pt idx="103">
                  <c:v>2.6971801314506689</c:v>
                </c:pt>
                <c:pt idx="104">
                  <c:v>2.6585683221863357</c:v>
                </c:pt>
                <c:pt idx="105">
                  <c:v>2.6875238480207924</c:v>
                </c:pt>
                <c:pt idx="106">
                  <c:v>2.5998308547536224</c:v>
                </c:pt>
                <c:pt idx="107">
                  <c:v>2.6374393133808351</c:v>
                </c:pt>
                <c:pt idx="108">
                  <c:v>2.7220505853039074</c:v>
                </c:pt>
                <c:pt idx="109">
                  <c:v>2.7218570606296892</c:v>
                </c:pt>
                <c:pt idx="110">
                  <c:v>2.6937354796285251</c:v>
                </c:pt>
                <c:pt idx="111">
                  <c:v>2.7097933868742716</c:v>
                </c:pt>
                <c:pt idx="112">
                  <c:v>2.7794058753404474</c:v>
                </c:pt>
                <c:pt idx="113">
                  <c:v>2.7461913122762458</c:v>
                </c:pt>
                <c:pt idx="114">
                  <c:v>2.6987921340924212</c:v>
                </c:pt>
                <c:pt idx="115">
                  <c:v>2.7944158966182333</c:v>
                </c:pt>
                <c:pt idx="116">
                  <c:v>2.7535629984693761</c:v>
                </c:pt>
                <c:pt idx="117">
                  <c:v>2.8254235599639941</c:v>
                </c:pt>
                <c:pt idx="118">
                  <c:v>2.8099023865643722</c:v>
                </c:pt>
                <c:pt idx="119">
                  <c:v>2.8609307172071681</c:v>
                </c:pt>
                <c:pt idx="120">
                  <c:v>2.8262894868871755</c:v>
                </c:pt>
                <c:pt idx="121">
                  <c:v>2.8735163992992736</c:v>
                </c:pt>
                <c:pt idx="122">
                  <c:v>2.8395258341637284</c:v>
                </c:pt>
                <c:pt idx="123">
                  <c:v>2.866196939243109</c:v>
                </c:pt>
                <c:pt idx="124">
                  <c:v>2.8774558497788565</c:v>
                </c:pt>
                <c:pt idx="125">
                  <c:v>2.8998619813605253</c:v>
                </c:pt>
                <c:pt idx="126">
                  <c:v>2.8998619813605253</c:v>
                </c:pt>
                <c:pt idx="127">
                  <c:v>2.9156311610753574</c:v>
                </c:pt>
                <c:pt idx="128">
                  <c:v>2.8982174408820289</c:v>
                </c:pt>
                <c:pt idx="129">
                  <c:v>2.9479552315972568</c:v>
                </c:pt>
                <c:pt idx="130">
                  <c:v>2.9800195864475807</c:v>
                </c:pt>
                <c:pt idx="131">
                  <c:v>2.9832835728511378</c:v>
                </c:pt>
                <c:pt idx="132">
                  <c:v>3.0172529786024014</c:v>
                </c:pt>
                <c:pt idx="133">
                  <c:v>2.8371357308836798</c:v>
                </c:pt>
                <c:pt idx="134">
                  <c:v>2.943526665339137</c:v>
                </c:pt>
                <c:pt idx="135">
                  <c:v>2.9237745412884037</c:v>
                </c:pt>
                <c:pt idx="136">
                  <c:v>2.9289887633629266</c:v>
                </c:pt>
                <c:pt idx="137">
                  <c:v>2.9858003012569103</c:v>
                </c:pt>
                <c:pt idx="138">
                  <c:v>2.9585956795807498</c:v>
                </c:pt>
                <c:pt idx="139">
                  <c:v>3.1008760278539067</c:v>
                </c:pt>
                <c:pt idx="140">
                  <c:v>3.0498818610822238</c:v>
                </c:pt>
                <c:pt idx="141">
                  <c:v>3.1458324172794985</c:v>
                </c:pt>
                <c:pt idx="142">
                  <c:v>3.1154191547427961</c:v>
                </c:pt>
                <c:pt idx="143">
                  <c:v>3.14099468397619</c:v>
                </c:pt>
                <c:pt idx="144">
                  <c:v>3.0667125970240758</c:v>
                </c:pt>
                <c:pt idx="145">
                  <c:v>3.1665702132095839</c:v>
                </c:pt>
                <c:pt idx="146">
                  <c:v>3.2423675367420643</c:v>
                </c:pt>
                <c:pt idx="147">
                  <c:v>3.1949325712309973</c:v>
                </c:pt>
                <c:pt idx="148">
                  <c:v>3.2538251448309818</c:v>
                </c:pt>
                <c:pt idx="149">
                  <c:v>3.2400998597555914</c:v>
                </c:pt>
                <c:pt idx="150">
                  <c:v>3.2791702891891035</c:v>
                </c:pt>
                <c:pt idx="151">
                  <c:v>3.2990763238210659</c:v>
                </c:pt>
                <c:pt idx="152">
                  <c:v>3.2284132409954669</c:v>
                </c:pt>
                <c:pt idx="153">
                  <c:v>3.3114933083038305</c:v>
                </c:pt>
                <c:pt idx="154">
                  <c:v>3.1846034201772526</c:v>
                </c:pt>
                <c:pt idx="155">
                  <c:v>3.2448292898843576</c:v>
                </c:pt>
                <c:pt idx="156">
                  <c:v>3.2094225408410795</c:v>
                </c:pt>
                <c:pt idx="157">
                  <c:v>3.2638771132804751</c:v>
                </c:pt>
                <c:pt idx="158">
                  <c:v>3.3184249180328607</c:v>
                </c:pt>
                <c:pt idx="159">
                  <c:v>3.3254029252354504</c:v>
                </c:pt>
                <c:pt idx="160">
                  <c:v>3.434267093727815</c:v>
                </c:pt>
                <c:pt idx="161">
                  <c:v>3.3927236709272788</c:v>
                </c:pt>
                <c:pt idx="162">
                  <c:v>3.4327900838676531</c:v>
                </c:pt>
                <c:pt idx="163">
                  <c:v>3.3659961321555172</c:v>
                </c:pt>
                <c:pt idx="164">
                  <c:v>3.3941752900441338</c:v>
                </c:pt>
                <c:pt idx="165">
                  <c:v>3.4328070194667322</c:v>
                </c:pt>
                <c:pt idx="166">
                  <c:v>3.4518958444127938</c:v>
                </c:pt>
                <c:pt idx="167">
                  <c:v>3.5750421997221125</c:v>
                </c:pt>
                <c:pt idx="168">
                  <c:v>3.553400092864667</c:v>
                </c:pt>
                <c:pt idx="169">
                  <c:v>3.6234104427609513</c:v>
                </c:pt>
                <c:pt idx="170">
                  <c:v>3.7308522893255756</c:v>
                </c:pt>
                <c:pt idx="171">
                  <c:v>3.6685195936073165</c:v>
                </c:pt>
                <c:pt idx="172">
                  <c:v>3.6951870338637707</c:v>
                </c:pt>
                <c:pt idx="173">
                  <c:v>3.7233241743819065</c:v>
                </c:pt>
                <c:pt idx="174">
                  <c:v>3.6666245645688087</c:v>
                </c:pt>
                <c:pt idx="175">
                  <c:v>3.6754453384181298</c:v>
                </c:pt>
                <c:pt idx="176">
                  <c:v>3.6987813196709078</c:v>
                </c:pt>
                <c:pt idx="177">
                  <c:v>3.7933686857932707</c:v>
                </c:pt>
                <c:pt idx="178">
                  <c:v>3.8921444825301901</c:v>
                </c:pt>
                <c:pt idx="179">
                  <c:v>3.9365228191130934</c:v>
                </c:pt>
                <c:pt idx="180">
                  <c:v>3.7904255215795191</c:v>
                </c:pt>
                <c:pt idx="181">
                  <c:v>3.8281911187160258</c:v>
                </c:pt>
                <c:pt idx="182">
                  <c:v>3.8201026019655324</c:v>
                </c:pt>
                <c:pt idx="183">
                  <c:v>3.8607148453409454</c:v>
                </c:pt>
                <c:pt idx="184">
                  <c:v>3.9447340935567397</c:v>
                </c:pt>
                <c:pt idx="185">
                  <c:v>3.8946644052430992</c:v>
                </c:pt>
                <c:pt idx="186">
                  <c:v>3.8819893201016393</c:v>
                </c:pt>
                <c:pt idx="187">
                  <c:v>4.0423260258777196</c:v>
                </c:pt>
                <c:pt idx="188">
                  <c:v>3.8779876037229086</c:v>
                </c:pt>
                <c:pt idx="189">
                  <c:v>4.0297443248366287</c:v>
                </c:pt>
                <c:pt idx="190">
                  <c:v>4.0908767237050263</c:v>
                </c:pt>
                <c:pt idx="191">
                  <c:v>3.9873811200378486</c:v>
                </c:pt>
                <c:pt idx="192">
                  <c:v>4.0703094362810948</c:v>
                </c:pt>
                <c:pt idx="193">
                  <c:v>4.0853865703559915</c:v>
                </c:pt>
                <c:pt idx="194">
                  <c:v>4.1072448656514799</c:v>
                </c:pt>
                <c:pt idx="195">
                  <c:v>4.3408587746462128</c:v>
                </c:pt>
                <c:pt idx="196">
                  <c:v>4.245928471242598</c:v>
                </c:pt>
                <c:pt idx="197">
                  <c:v>4.3465565189365902</c:v>
                </c:pt>
                <c:pt idx="198">
                  <c:v>4.2910333134550704</c:v>
                </c:pt>
                <c:pt idx="199">
                  <c:v>4.3468855931337282</c:v>
                </c:pt>
                <c:pt idx="200">
                  <c:v>4.4138653621660309</c:v>
                </c:pt>
                <c:pt idx="201">
                  <c:v>4.2885237827216089</c:v>
                </c:pt>
                <c:pt idx="202">
                  <c:v>4.4301047490761336</c:v>
                </c:pt>
                <c:pt idx="203">
                  <c:v>4.3633152317706507</c:v>
                </c:pt>
                <c:pt idx="204">
                  <c:v>4.4046914494428444</c:v>
                </c:pt>
                <c:pt idx="205">
                  <c:v>4.5743345090950633</c:v>
                </c:pt>
                <c:pt idx="206">
                  <c:v>4.6093814996211373</c:v>
                </c:pt>
                <c:pt idx="207">
                  <c:v>4.7333616720440697</c:v>
                </c:pt>
                <c:pt idx="208">
                  <c:v>4.5616171566752017</c:v>
                </c:pt>
                <c:pt idx="209">
                  <c:v>4.6838311818252594</c:v>
                </c:pt>
                <c:pt idx="210">
                  <c:v>4.7796601361389612</c:v>
                </c:pt>
                <c:pt idx="211">
                  <c:v>4.7250077409777171</c:v>
                </c:pt>
                <c:pt idx="212">
                  <c:v>4.7828522455778772</c:v>
                </c:pt>
                <c:pt idx="213">
                  <c:v>4.7285905162971904</c:v>
                </c:pt>
                <c:pt idx="214">
                  <c:v>4.7992059915042633</c:v>
                </c:pt>
                <c:pt idx="215">
                  <c:v>4.8234804995252505</c:v>
                </c:pt>
                <c:pt idx="216">
                  <c:v>4.9753755728283515</c:v>
                </c:pt>
                <c:pt idx="217">
                  <c:v>4.9994321652054197</c:v>
                </c:pt>
                <c:pt idx="218">
                  <c:v>5.1722447308678472</c:v>
                </c:pt>
                <c:pt idx="219">
                  <c:v>5.025871934424889</c:v>
                </c:pt>
                <c:pt idx="220">
                  <c:v>5.3461438496836857</c:v>
                </c:pt>
                <c:pt idx="221">
                  <c:v>5.3894354056923595</c:v>
                </c:pt>
                <c:pt idx="222">
                  <c:v>5.3173096008525089</c:v>
                </c:pt>
                <c:pt idx="223">
                  <c:v>5.4854157353381003</c:v>
                </c:pt>
                <c:pt idx="224">
                  <c:v>5.6581399621293107</c:v>
                </c:pt>
                <c:pt idx="225">
                  <c:v>5.4701476186060107</c:v>
                </c:pt>
                <c:pt idx="226">
                  <c:v>5.4954065975086657</c:v>
                </c:pt>
                <c:pt idx="227">
                  <c:v>5.5601447287068497</c:v>
                </c:pt>
                <c:pt idx="228">
                  <c:v>5.5937216671638152</c:v>
                </c:pt>
                <c:pt idx="229">
                  <c:v>5.6301323707775559</c:v>
                </c:pt>
                <c:pt idx="230">
                  <c:v>6.060099772968182</c:v>
                </c:pt>
                <c:pt idx="231">
                  <c:v>6.1246340514561615</c:v>
                </c:pt>
                <c:pt idx="232">
                  <c:v>6.1142515806236881</c:v>
                </c:pt>
                <c:pt idx="233">
                  <c:v>6.2536729472375958</c:v>
                </c:pt>
                <c:pt idx="234">
                  <c:v>6.3334558952914346</c:v>
                </c:pt>
                <c:pt idx="235">
                  <c:v>6.4504320963566268</c:v>
                </c:pt>
                <c:pt idx="236">
                  <c:v>6.4659203103306311</c:v>
                </c:pt>
                <c:pt idx="237">
                  <c:v>6.7967682321666869</c:v>
                </c:pt>
                <c:pt idx="238">
                  <c:v>7.0828481005715629</c:v>
                </c:pt>
                <c:pt idx="239">
                  <c:v>7.206472594271534</c:v>
                </c:pt>
                <c:pt idx="240">
                  <c:v>7.5711459069974074</c:v>
                </c:pt>
                <c:pt idx="241">
                  <c:v>7.4876184652681923</c:v>
                </c:pt>
                <c:pt idx="242">
                  <c:v>7.496925635517127</c:v>
                </c:pt>
                <c:pt idx="243">
                  <c:v>7.9840085336089217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7B-5D4F-8F2C-E6C022FBAA37}"/>
            </c:ext>
          </c:extLst>
        </c:ser>
        <c:ser>
          <c:idx val="1"/>
          <c:order val="3"/>
          <c:tx>
            <c:v>Average of Both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tips!$U$2:$U$245</c:f>
              <c:numCache>
                <c:formatCode>"$"#,##0.00</c:formatCode>
                <c:ptCount val="244"/>
                <c:pt idx="0">
                  <c:v>1.6014552142078093</c:v>
                </c:pt>
                <c:pt idx="1">
                  <c:v>1.7982771881929662</c:v>
                </c:pt>
                <c:pt idx="2">
                  <c:v>2.0241939671290519</c:v>
                </c:pt>
                <c:pt idx="3">
                  <c:v>2.0944767921089333</c:v>
                </c:pt>
                <c:pt idx="4">
                  <c:v>2.0908242831256194</c:v>
                </c:pt>
                <c:pt idx="5">
                  <c:v>2.0629290161093929</c:v>
                </c:pt>
                <c:pt idx="6">
                  <c:v>2.0962490240270424</c:v>
                </c:pt>
                <c:pt idx="7">
                  <c:v>2.1400874079976919</c:v>
                </c:pt>
                <c:pt idx="8">
                  <c:v>2.0859326135689615</c:v>
                </c:pt>
                <c:pt idx="9">
                  <c:v>2.1536086590011525</c:v>
                </c:pt>
                <c:pt idx="10">
                  <c:v>2.2406268601129797</c:v>
                </c:pt>
                <c:pt idx="11">
                  <c:v>2.1882581245735517</c:v>
                </c:pt>
                <c:pt idx="12">
                  <c:v>2.1880691516639272</c:v>
                </c:pt>
                <c:pt idx="13">
                  <c:v>2.2449067876961442</c:v>
                </c:pt>
                <c:pt idx="14">
                  <c:v>2.2458713129071164</c:v>
                </c:pt>
                <c:pt idx="15">
                  <c:v>2.2538249899679754</c:v>
                </c:pt>
                <c:pt idx="16">
                  <c:v>2.2195851204227792</c:v>
                </c:pt>
                <c:pt idx="17">
                  <c:v>2.2601757682410821</c:v>
                </c:pt>
                <c:pt idx="18">
                  <c:v>2.325446660691469</c:v>
                </c:pt>
                <c:pt idx="19">
                  <c:v>2.2695568923963902</c:v>
                </c:pt>
                <c:pt idx="20">
                  <c:v>2.2297143971864548</c:v>
                </c:pt>
                <c:pt idx="21">
                  <c:v>2.2478686821294414</c:v>
                </c:pt>
                <c:pt idx="22">
                  <c:v>2.2206061547820526</c:v>
                </c:pt>
                <c:pt idx="23">
                  <c:v>2.2346160489006879</c:v>
                </c:pt>
                <c:pt idx="24">
                  <c:v>2.3304424750019965</c:v>
                </c:pt>
                <c:pt idx="25">
                  <c:v>2.3040501990483677</c:v>
                </c:pt>
                <c:pt idx="26">
                  <c:v>2.3525362396108838</c:v>
                </c:pt>
                <c:pt idx="27">
                  <c:v>2.3590091458192779</c:v>
                </c:pt>
                <c:pt idx="28">
                  <c:v>2.2866509930612566</c:v>
                </c:pt>
                <c:pt idx="29">
                  <c:v>2.3126243387706626</c:v>
                </c:pt>
                <c:pt idx="30">
                  <c:v>2.2705614948050612</c:v>
                </c:pt>
                <c:pt idx="31">
                  <c:v>2.3583981986693296</c:v>
                </c:pt>
                <c:pt idx="32">
                  <c:v>2.4870227360730497</c:v>
                </c:pt>
                <c:pt idx="33">
                  <c:v>2.4770059459529916</c:v>
                </c:pt>
                <c:pt idx="34">
                  <c:v>2.3179441280426438</c:v>
                </c:pt>
                <c:pt idx="35">
                  <c:v>2.4229290946271691</c:v>
                </c:pt>
                <c:pt idx="36">
                  <c:v>2.3529219113256157</c:v>
                </c:pt>
                <c:pt idx="37">
                  <c:v>2.3993772801816946</c:v>
                </c:pt>
                <c:pt idx="38">
                  <c:v>2.411946963001748</c:v>
                </c:pt>
                <c:pt idx="39">
                  <c:v>2.3604251095659943</c:v>
                </c:pt>
                <c:pt idx="40">
                  <c:v>2.2581984696208068</c:v>
                </c:pt>
                <c:pt idx="41">
                  <c:v>2.2870551674685657</c:v>
                </c:pt>
                <c:pt idx="42">
                  <c:v>2.486039930159011</c:v>
                </c:pt>
                <c:pt idx="43">
                  <c:v>2.4510761810772781</c:v>
                </c:pt>
                <c:pt idx="44">
                  <c:v>2.4710903743539716</c:v>
                </c:pt>
                <c:pt idx="45">
                  <c:v>2.5103133284404886</c:v>
                </c:pt>
                <c:pt idx="46">
                  <c:v>2.4685742706111675</c:v>
                </c:pt>
                <c:pt idx="47">
                  <c:v>2.4733464768476829</c:v>
                </c:pt>
                <c:pt idx="48">
                  <c:v>2.4846773742592125</c:v>
                </c:pt>
                <c:pt idx="49">
                  <c:v>2.4393887999716974</c:v>
                </c:pt>
                <c:pt idx="50">
                  <c:v>2.4418131052608398</c:v>
                </c:pt>
                <c:pt idx="51">
                  <c:v>2.4314990594223689</c:v>
                </c:pt>
                <c:pt idx="52">
                  <c:v>2.4331329433271129</c:v>
                </c:pt>
                <c:pt idx="53">
                  <c:v>2.4445701306603231</c:v>
                </c:pt>
                <c:pt idx="54">
                  <c:v>2.4527395501840443</c:v>
                </c:pt>
                <c:pt idx="55">
                  <c:v>2.4527395501840443</c:v>
                </c:pt>
                <c:pt idx="56">
                  <c:v>2.4760135624251483</c:v>
                </c:pt>
                <c:pt idx="57">
                  <c:v>2.47736958283493</c:v>
                </c:pt>
                <c:pt idx="58">
                  <c:v>2.566951257763936</c:v>
                </c:pt>
                <c:pt idx="59">
                  <c:v>2.5758515038004779</c:v>
                </c:pt>
                <c:pt idx="60">
                  <c:v>2.5251481894499959</c:v>
                </c:pt>
                <c:pt idx="61">
                  <c:v>2.5907991315852246</c:v>
                </c:pt>
                <c:pt idx="62">
                  <c:v>2.5924250933022384</c:v>
                </c:pt>
                <c:pt idx="63">
                  <c:v>2.5076803668998497</c:v>
                </c:pt>
                <c:pt idx="64">
                  <c:v>2.493926945120216</c:v>
                </c:pt>
                <c:pt idx="65">
                  <c:v>2.5076803668998497</c:v>
                </c:pt>
                <c:pt idx="66">
                  <c:v>2.5013142309336835</c:v>
                </c:pt>
                <c:pt idx="67">
                  <c:v>2.5341952820717752</c:v>
                </c:pt>
                <c:pt idx="68">
                  <c:v>2.5679761897770099</c:v>
                </c:pt>
                <c:pt idx="69">
                  <c:v>2.5917749029240493</c:v>
                </c:pt>
                <c:pt idx="70">
                  <c:v>2.6705551821791387</c:v>
                </c:pt>
                <c:pt idx="71">
                  <c:v>2.7084867766538001</c:v>
                </c:pt>
                <c:pt idx="72">
                  <c:v>2.6896438642263791</c:v>
                </c:pt>
                <c:pt idx="73">
                  <c:v>2.8112634894391251</c:v>
                </c:pt>
                <c:pt idx="74">
                  <c:v>2.8153090558193714</c:v>
                </c:pt>
                <c:pt idx="75">
                  <c:v>2.8290639815122089</c:v>
                </c:pt>
                <c:pt idx="76">
                  <c:v>2.793440320969347</c:v>
                </c:pt>
                <c:pt idx="77">
                  <c:v>2.845933759111396</c:v>
                </c:pt>
                <c:pt idx="78">
                  <c:v>2.6515088430109239</c:v>
                </c:pt>
                <c:pt idx="79">
                  <c:v>2.6096610895312153</c:v>
                </c:pt>
                <c:pt idx="80">
                  <c:v>2.6367834928351694</c:v>
                </c:pt>
                <c:pt idx="81">
                  <c:v>2.631717019577001</c:v>
                </c:pt>
                <c:pt idx="82">
                  <c:v>2.681289255240928</c:v>
                </c:pt>
                <c:pt idx="83">
                  <c:v>2.8260411987376868</c:v>
                </c:pt>
                <c:pt idx="84">
                  <c:v>2.7068647844743219</c:v>
                </c:pt>
                <c:pt idx="85">
                  <c:v>2.7435099068157207</c:v>
                </c:pt>
                <c:pt idx="86">
                  <c:v>2.695252239658176</c:v>
                </c:pt>
                <c:pt idx="87">
                  <c:v>2.688748295794531</c:v>
                </c:pt>
                <c:pt idx="88">
                  <c:v>2.7121406054617969</c:v>
                </c:pt>
                <c:pt idx="89">
                  <c:v>2.6986150728668212</c:v>
                </c:pt>
                <c:pt idx="90">
                  <c:v>2.7781298228127911</c:v>
                </c:pt>
                <c:pt idx="91">
                  <c:v>2.8145167369806865</c:v>
                </c:pt>
                <c:pt idx="92">
                  <c:v>2.6937374261338198</c:v>
                </c:pt>
                <c:pt idx="93">
                  <c:v>2.7076785853034657</c:v>
                </c:pt>
                <c:pt idx="94">
                  <c:v>2.806365373461805</c:v>
                </c:pt>
                <c:pt idx="95">
                  <c:v>2.9038534744631748</c:v>
                </c:pt>
                <c:pt idx="96">
                  <c:v>2.8738436645666088</c:v>
                </c:pt>
                <c:pt idx="97">
                  <c:v>2.7319748677498552</c:v>
                </c:pt>
                <c:pt idx="98">
                  <c:v>2.818585486615254</c:v>
                </c:pt>
                <c:pt idx="99">
                  <c:v>2.7477533785131358</c:v>
                </c:pt>
                <c:pt idx="100">
                  <c:v>2.7122257718407665</c:v>
                </c:pt>
                <c:pt idx="101">
                  <c:v>2.8226310529955003</c:v>
                </c:pt>
                <c:pt idx="102">
                  <c:v>2.829103959203894</c:v>
                </c:pt>
                <c:pt idx="103">
                  <c:v>2.7409906151039802</c:v>
                </c:pt>
                <c:pt idx="104">
                  <c:v>2.7813081159342112</c:v>
                </c:pt>
                <c:pt idx="105">
                  <c:v>2.7324909963092461</c:v>
                </c:pt>
                <c:pt idx="106">
                  <c:v>2.8330244024607696</c:v>
                </c:pt>
                <c:pt idx="107">
                  <c:v>2.9499848014161567</c:v>
                </c:pt>
                <c:pt idx="108">
                  <c:v>2.7517403047522402</c:v>
                </c:pt>
                <c:pt idx="109">
                  <c:v>2.8630867167979632</c:v>
                </c:pt>
                <c:pt idx="110">
                  <c:v>2.8490259262973812</c:v>
                </c:pt>
                <c:pt idx="111">
                  <c:v>2.7729141986690653</c:v>
                </c:pt>
                <c:pt idx="112">
                  <c:v>2.8662441683000583</c:v>
                </c:pt>
                <c:pt idx="113">
                  <c:v>2.849636886767958</c:v>
                </c:pt>
                <c:pt idx="114">
                  <c:v>2.906436460705093</c:v>
                </c:pt>
                <c:pt idx="115">
                  <c:v>2.8135399162626871</c:v>
                </c:pt>
                <c:pt idx="116">
                  <c:v>2.8527368726506559</c:v>
                </c:pt>
                <c:pt idx="117">
                  <c:v>2.9959549867080302</c:v>
                </c:pt>
                <c:pt idx="118">
                  <c:v>2.8552896108448702</c:v>
                </c:pt>
                <c:pt idx="119">
                  <c:v>2.8211803707038707</c:v>
                </c:pt>
                <c:pt idx="120">
                  <c:v>2.8038597555438747</c:v>
                </c:pt>
                <c:pt idx="121">
                  <c:v>2.8887821544906802</c:v>
                </c:pt>
                <c:pt idx="122">
                  <c:v>2.965787700491922</c:v>
                </c:pt>
                <c:pt idx="123">
                  <c:v>2.8834368871842386</c:v>
                </c:pt>
                <c:pt idx="124">
                  <c:v>2.8890663424521126</c:v>
                </c:pt>
                <c:pt idx="125">
                  <c:v>2.9520891771633808</c:v>
                </c:pt>
                <c:pt idx="126">
                  <c:v>2.9520891771633808</c:v>
                </c:pt>
                <c:pt idx="127">
                  <c:v>2.8741475484912491</c:v>
                </c:pt>
                <c:pt idx="128">
                  <c:v>2.8671262256729442</c:v>
                </c:pt>
                <c:pt idx="129">
                  <c:v>2.8903095837521988</c:v>
                </c:pt>
                <c:pt idx="130">
                  <c:v>2.9418140433010573</c:v>
                </c:pt>
                <c:pt idx="131">
                  <c:v>2.9434460365028361</c:v>
                </c:pt>
                <c:pt idx="132">
                  <c:v>2.934813783525184</c:v>
                </c:pt>
                <c:pt idx="133">
                  <c:v>2.8945232388578077</c:v>
                </c:pt>
                <c:pt idx="134">
                  <c:v>2.9499901005777627</c:v>
                </c:pt>
                <c:pt idx="135">
                  <c:v>2.9657309944056793</c:v>
                </c:pt>
                <c:pt idx="136">
                  <c:v>2.9421352923757902</c:v>
                </c:pt>
                <c:pt idx="137">
                  <c:v>2.9210733846538757</c:v>
                </c:pt>
                <c:pt idx="138">
                  <c:v>3.010721277595974</c:v>
                </c:pt>
                <c:pt idx="139">
                  <c:v>3.0185665691903587</c:v>
                </c:pt>
                <c:pt idx="140">
                  <c:v>3.0836668614783536</c:v>
                </c:pt>
                <c:pt idx="141">
                  <c:v>3.2303841664326391</c:v>
                </c:pt>
                <c:pt idx="142">
                  <c:v>3.1906602593754965</c:v>
                </c:pt>
                <c:pt idx="143">
                  <c:v>3.203448023992193</c:v>
                </c:pt>
                <c:pt idx="144">
                  <c:v>3.1646214432377771</c:v>
                </c:pt>
                <c:pt idx="145">
                  <c:v>3.2054952480683498</c:v>
                </c:pt>
                <c:pt idx="146">
                  <c:v>3.0977249990008673</c:v>
                </c:pt>
                <c:pt idx="147">
                  <c:v>3.099624472098617</c:v>
                </c:pt>
                <c:pt idx="148">
                  <c:v>3.15833601022109</c:v>
                </c:pt>
                <c:pt idx="149">
                  <c:v>3.0976908405721226</c:v>
                </c:pt>
                <c:pt idx="150">
                  <c:v>3.246918870745366</c:v>
                </c:pt>
                <c:pt idx="151">
                  <c:v>3.1533818856720108</c:v>
                </c:pt>
                <c:pt idx="152">
                  <c:v>3.2716745782906234</c:v>
                </c:pt>
                <c:pt idx="153">
                  <c:v>3.1077706089929586</c:v>
                </c:pt>
                <c:pt idx="154">
                  <c:v>3.1493421037475091</c:v>
                </c:pt>
                <c:pt idx="155">
                  <c:v>3.1000555556365059</c:v>
                </c:pt>
                <c:pt idx="156">
                  <c:v>3.0806666438365076</c:v>
                </c:pt>
                <c:pt idx="157">
                  <c:v>3.135782280401715</c:v>
                </c:pt>
                <c:pt idx="158">
                  <c:v>3.1368533697107575</c:v>
                </c:pt>
                <c:pt idx="159">
                  <c:v>3.1648596491008436</c:v>
                </c:pt>
                <c:pt idx="160">
                  <c:v>3.1906191164854683</c:v>
                </c:pt>
                <c:pt idx="161">
                  <c:v>3.1208635924092638</c:v>
                </c:pt>
                <c:pt idx="162">
                  <c:v>3.1071100540341132</c:v>
                </c:pt>
                <c:pt idx="163">
                  <c:v>3.1589534394937262</c:v>
                </c:pt>
                <c:pt idx="164">
                  <c:v>3.199245831505185</c:v>
                </c:pt>
                <c:pt idx="165">
                  <c:v>3.2734439033922484</c:v>
                </c:pt>
                <c:pt idx="166">
                  <c:v>3.2019032956223645</c:v>
                </c:pt>
                <c:pt idx="167">
                  <c:v>3.2038530678146264</c:v>
                </c:pt>
                <c:pt idx="168">
                  <c:v>3.3354259773695754</c:v>
                </c:pt>
                <c:pt idx="169">
                  <c:v>3.2637291762215188</c:v>
                </c:pt>
                <c:pt idx="170">
                  <c:v>3.2541552169616375</c:v>
                </c:pt>
                <c:pt idx="171">
                  <c:v>3.4175030035296916</c:v>
                </c:pt>
                <c:pt idx="172">
                  <c:v>3.2977122297307933</c:v>
                </c:pt>
                <c:pt idx="173">
                  <c:v>3.3382033178207884</c:v>
                </c:pt>
                <c:pt idx="174">
                  <c:v>3.2240272943846913</c:v>
                </c:pt>
                <c:pt idx="175">
                  <c:v>3.4209658759350985</c:v>
                </c:pt>
                <c:pt idx="176">
                  <c:v>3.4070169107082036</c:v>
                </c:pt>
                <c:pt idx="177">
                  <c:v>3.481613086901028</c:v>
                </c:pt>
                <c:pt idx="178">
                  <c:v>3.505384029416204</c:v>
                </c:pt>
                <c:pt idx="179">
                  <c:v>3.5275731977076559</c:v>
                </c:pt>
                <c:pt idx="180">
                  <c:v>3.552680718582649</c:v>
                </c:pt>
                <c:pt idx="181">
                  <c:v>3.4162537458411313</c:v>
                </c:pt>
                <c:pt idx="182">
                  <c:v>3.4138950247442441</c:v>
                </c:pt>
                <c:pt idx="183">
                  <c:v>3.4873978163293553</c:v>
                </c:pt>
                <c:pt idx="184">
                  <c:v>3.6042180487179758</c:v>
                </c:pt>
                <c:pt idx="185">
                  <c:v>3.6064856976927988</c:v>
                </c:pt>
                <c:pt idx="186">
                  <c:v>3.5242378667768532</c:v>
                </c:pt>
                <c:pt idx="187">
                  <c:v>3.6530140148784653</c:v>
                </c:pt>
                <c:pt idx="188">
                  <c:v>3.4149491752774219</c:v>
                </c:pt>
                <c:pt idx="189">
                  <c:v>3.6478228444224126</c:v>
                </c:pt>
                <c:pt idx="190">
                  <c:v>3.5475965483356315</c:v>
                </c:pt>
                <c:pt idx="191">
                  <c:v>3.4100225279724947</c:v>
                </c:pt>
                <c:pt idx="192">
                  <c:v>3.4869589682178144</c:v>
                </c:pt>
                <c:pt idx="193">
                  <c:v>3.4947172400190389</c:v>
                </c:pt>
                <c:pt idx="194">
                  <c:v>3.5574661565872177</c:v>
                </c:pt>
                <c:pt idx="195">
                  <c:v>3.6486561552313006</c:v>
                </c:pt>
                <c:pt idx="196">
                  <c:v>3.5409817408532285</c:v>
                </c:pt>
                <c:pt idx="197">
                  <c:v>3.7565214661943287</c:v>
                </c:pt>
                <c:pt idx="198">
                  <c:v>3.7031429076002849</c:v>
                </c:pt>
                <c:pt idx="199">
                  <c:v>3.7583715405712566</c:v>
                </c:pt>
                <c:pt idx="200">
                  <c:v>3.7060352065578597</c:v>
                </c:pt>
                <c:pt idx="201">
                  <c:v>3.7159036306241462</c:v>
                </c:pt>
                <c:pt idx="202">
                  <c:v>3.7883796510797678</c:v>
                </c:pt>
                <c:pt idx="203">
                  <c:v>3.6592985265796525</c:v>
                </c:pt>
                <c:pt idx="204">
                  <c:v>3.67830109813739</c:v>
                </c:pt>
                <c:pt idx="205">
                  <c:v>3.737505672110216</c:v>
                </c:pt>
                <c:pt idx="206">
                  <c:v>3.6970912991892146</c:v>
                </c:pt>
                <c:pt idx="207">
                  <c:v>4.0216650788915516</c:v>
                </c:pt>
                <c:pt idx="208">
                  <c:v>3.7584494890319275</c:v>
                </c:pt>
                <c:pt idx="209">
                  <c:v>3.8178709643285975</c:v>
                </c:pt>
                <c:pt idx="210">
                  <c:v>3.8160173622934641</c:v>
                </c:pt>
                <c:pt idx="211">
                  <c:v>4.019971828281748</c:v>
                </c:pt>
                <c:pt idx="212">
                  <c:v>4.0488940805818281</c:v>
                </c:pt>
                <c:pt idx="213">
                  <c:v>3.8957186959541943</c:v>
                </c:pt>
                <c:pt idx="214">
                  <c:v>4.0570709535450211</c:v>
                </c:pt>
                <c:pt idx="215">
                  <c:v>4.0188542711496638</c:v>
                </c:pt>
                <c:pt idx="216">
                  <c:v>3.9898459728972941</c:v>
                </c:pt>
                <c:pt idx="217">
                  <c:v>3.951740037443753</c:v>
                </c:pt>
                <c:pt idx="218">
                  <c:v>4.0041398706658526</c:v>
                </c:pt>
                <c:pt idx="219">
                  <c:v>4.0699763608713271</c:v>
                </c:pt>
                <c:pt idx="220">
                  <c:v>4.3049229267814484</c:v>
                </c:pt>
                <c:pt idx="221">
                  <c:v>4.2424280235345968</c:v>
                </c:pt>
                <c:pt idx="222">
                  <c:v>4.2195559991490557</c:v>
                </c:pt>
                <c:pt idx="223">
                  <c:v>4.3894352849213991</c:v>
                </c:pt>
                <c:pt idx="224">
                  <c:v>4.484054223934173</c:v>
                </c:pt>
                <c:pt idx="225">
                  <c:v>4.5015012265553542</c:v>
                </c:pt>
                <c:pt idx="226">
                  <c:v>4.4051712565472227</c:v>
                </c:pt>
                <c:pt idx="227">
                  <c:v>4.4011828257524908</c:v>
                </c:pt>
                <c:pt idx="228">
                  <c:v>4.3007045573433853</c:v>
                </c:pt>
                <c:pt idx="229">
                  <c:v>4.4480168673928766</c:v>
                </c:pt>
                <c:pt idx="230">
                  <c:v>4.5760746698941492</c:v>
                </c:pt>
                <c:pt idx="231">
                  <c:v>4.6941680276676863</c:v>
                </c:pt>
                <c:pt idx="232">
                  <c:v>4.7145937481047335</c:v>
                </c:pt>
                <c:pt idx="233">
                  <c:v>4.6306801973802756</c:v>
                </c:pt>
                <c:pt idx="234">
                  <c:v>4.5830599155992875</c:v>
                </c:pt>
                <c:pt idx="235">
                  <c:v>4.7822564418371964</c:v>
                </c:pt>
                <c:pt idx="236">
                  <c:v>4.8904281129582055</c:v>
                </c:pt>
                <c:pt idx="237">
                  <c:v>4.9314930911673018</c:v>
                </c:pt>
                <c:pt idx="238">
                  <c:v>5.2005775453570307</c:v>
                </c:pt>
                <c:pt idx="239">
                  <c:v>5.2838374958585685</c:v>
                </c:pt>
                <c:pt idx="240">
                  <c:v>5.4168380982244431</c:v>
                </c:pt>
                <c:pt idx="241">
                  <c:v>5.3750743773598355</c:v>
                </c:pt>
                <c:pt idx="242">
                  <c:v>5.3797279624843029</c:v>
                </c:pt>
                <c:pt idx="243">
                  <c:v>5.5507301977417027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7B-5D4F-8F2C-E6C022FBA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861903"/>
        <c:axId val="1487225423"/>
      </c:lineChart>
      <c:catAx>
        <c:axId val="112486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225423"/>
        <c:crosses val="autoZero"/>
        <c:auto val="1"/>
        <c:lblAlgn val="ctr"/>
        <c:lblOffset val="100"/>
        <c:noMultiLvlLbl val="0"/>
      </c:catAx>
      <c:valAx>
        <c:axId val="14872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6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2083</xdr:colOff>
      <xdr:row>44</xdr:row>
      <xdr:rowOff>45042</xdr:rowOff>
    </xdr:from>
    <xdr:to>
      <xdr:col>26</xdr:col>
      <xdr:colOff>838678</xdr:colOff>
      <xdr:row>58</xdr:row>
      <xdr:rowOff>119366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D755BA5-69BB-A908-E445-D25856F49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8.460825578702" createdVersion="8" refreshedVersion="8" minRefreshableVersion="3" recordCount="244" xr:uid="{436B4734-EFEB-FA48-90E4-6B0EF88291E7}">
  <cacheSource type="worksheet">
    <worksheetSource ref="A1:H245" sheet="tips"/>
  </cacheSource>
  <cacheFields count="8">
    <cacheField name="sex" numFmtId="0">
      <sharedItems count="2">
        <s v="Female"/>
        <s v="Male"/>
      </sharedItems>
    </cacheField>
    <cacheField name="smoker" numFmtId="0">
      <sharedItems count="2">
        <s v="Yes"/>
        <s v="No"/>
      </sharedItems>
    </cacheField>
    <cacheField name="day" numFmtId="0">
      <sharedItems count="4">
        <s v="Sat"/>
        <s v="Fri"/>
        <s v="Sun"/>
        <s v="Thur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total_bill" numFmtId="0">
      <sharedItems containsSemiMixedTypes="0" containsString="0" containsNumber="1" minValue="3.07" maxValue="50.81" count="229">
        <n v="3.07"/>
        <n v="5.75"/>
        <n v="7.25"/>
        <n v="12.6"/>
        <n v="16.989999999999998"/>
        <n v="12.9"/>
        <n v="32.83"/>
        <n v="10.51"/>
        <n v="8.51"/>
        <n v="10.07"/>
        <n v="9.68"/>
        <n v="18.64"/>
        <n v="7.56"/>
        <n v="7.74"/>
        <n v="9.5500000000000007"/>
        <n v="10.77"/>
        <n v="8.52"/>
        <n v="26.41"/>
        <n v="12.03"/>
        <n v="12.46"/>
        <n v="10.65"/>
        <n v="19.079999999999998"/>
        <n v="11.17"/>
        <n v="8.35"/>
        <n v="15.69"/>
        <n v="11.59"/>
        <n v="9.94"/>
        <n v="15.42"/>
        <n v="13.42"/>
        <n v="10.59"/>
        <n v="11.87"/>
        <n v="15.36"/>
        <n v="10.34"/>
        <n v="10.33"/>
        <n v="10.27"/>
        <n v="9.7799999999999994"/>
        <n v="17.82"/>
        <n v="11.24"/>
        <n v="12.43"/>
        <n v="8.58"/>
        <n v="15.04"/>
        <n v="12.02"/>
        <n v="11.02"/>
        <n v="8.77"/>
        <n v="13.37"/>
        <n v="12.69"/>
        <n v="16.309999999999999"/>
        <n v="13.81"/>
        <n v="13.03"/>
        <n v="15.95"/>
        <n v="14.52"/>
        <n v="11.38"/>
        <n v="12.26"/>
        <n v="14.15"/>
        <n v="16"/>
        <n v="7.51"/>
        <n v="13.13"/>
        <n v="24.55"/>
        <n v="19.77"/>
        <n v="16.489999999999998"/>
        <n v="16.21"/>
        <n v="10.63"/>
        <n v="17.89"/>
        <n v="14.48"/>
        <n v="30.46"/>
        <n v="13"/>
        <n v="13.51"/>
        <n v="30.06"/>
        <n v="10.09"/>
        <n v="24.01"/>
        <n v="27.18"/>
        <n v="22.67"/>
        <n v="20.23"/>
        <n v="12.74"/>
        <n v="15.48"/>
        <n v="15.98"/>
        <n v="24.27"/>
        <n v="28.55"/>
        <n v="15.01"/>
        <n v="22.82"/>
        <n v="14.73"/>
        <n v="12.16"/>
        <n v="15.77"/>
        <n v="12.76"/>
        <n v="16.04"/>
        <n v="20.76"/>
        <n v="16.43"/>
        <n v="18.690000000000001"/>
        <n v="11.69"/>
        <n v="17.809999999999999"/>
        <n v="20.69"/>
        <n v="16.45"/>
        <n v="18.350000000000001"/>
        <n v="12.54"/>
        <n v="11.35"/>
        <n v="44.3"/>
        <n v="14.26"/>
        <n v="14.07"/>
        <n v="12.66"/>
        <n v="16.399999999999999"/>
        <n v="13.27"/>
        <n v="16.27"/>
        <n v="12.48"/>
        <n v="17.46"/>
        <n v="23.95"/>
        <n v="28.44"/>
        <n v="10.29"/>
        <n v="13.39"/>
        <n v="17.59"/>
        <n v="17.29"/>
        <n v="13.28"/>
        <n v="17.260000000000002"/>
        <n v="20.29"/>
        <n v="13.16"/>
        <n v="20.27"/>
        <n v="22.12"/>
        <n v="24.08"/>
        <n v="18.43"/>
        <n v="19.649999999999999"/>
        <n v="15.06"/>
        <n v="18.29"/>
        <n v="18.04"/>
        <n v="38.01"/>
        <n v="17.07"/>
        <n v="22.76"/>
        <n v="19.440000000000001"/>
        <n v="21.16"/>
        <n v="28.97"/>
        <n v="21.01"/>
        <n v="15.38"/>
        <n v="14"/>
        <n v="17.510000000000002"/>
        <n v="40.549999999999997"/>
        <n v="38.729999999999997"/>
        <n v="28.15"/>
        <n v="20.45"/>
        <n v="15.53"/>
        <n v="18.78"/>
        <n v="14.83"/>
        <n v="13.94"/>
        <n v="16.93"/>
        <n v="17.920000000000002"/>
        <n v="30.14"/>
        <n v="32.9"/>
        <n v="26.88"/>
        <n v="26.86"/>
        <n v="20.079999999999998"/>
        <n v="15.81"/>
        <n v="19.82"/>
        <n v="31.85"/>
        <n v="14.78"/>
        <n v="16.47"/>
        <n v="22.75"/>
        <n v="18.260000000000002"/>
        <n v="17.78"/>
        <n v="23.68"/>
        <n v="20.65"/>
        <n v="11.61"/>
        <n v="16.66"/>
        <n v="26.59"/>
        <n v="22.42"/>
        <n v="24.52"/>
        <n v="16.97"/>
        <n v="22.49"/>
        <n v="17.309999999999999"/>
        <n v="17.47"/>
        <n v="21.5"/>
        <n v="45.35"/>
        <n v="20.9"/>
        <n v="18.149999999999999"/>
        <n v="19.489999999999998"/>
        <n v="34.630000000000003"/>
        <n v="24.06"/>
        <n v="24.59"/>
        <n v="34.65"/>
        <n v="16.29"/>
        <n v="25"/>
        <n v="18.239999999999998"/>
        <n v="21.58"/>
        <n v="27.2"/>
        <n v="18.28"/>
        <n v="27.28"/>
        <n v="14.31"/>
        <n v="38.07"/>
        <n v="25.71"/>
        <n v="16.82"/>
        <n v="9.6"/>
        <n v="23.1"/>
        <n v="16.579999999999998"/>
        <n v="18.71"/>
        <n v="20.53"/>
        <n v="20.49"/>
        <n v="20.92"/>
        <n v="19.809999999999999"/>
        <n v="29.8"/>
        <n v="25.21"/>
        <n v="21.7"/>
        <n v="16.32"/>
        <n v="25.56"/>
        <n v="31.71"/>
        <n v="35.83"/>
        <n v="25.29"/>
        <n v="40.17"/>
        <n v="35.26"/>
        <n v="31.27"/>
        <n v="22.23"/>
        <n v="25.28"/>
        <n v="32.68"/>
        <n v="41.19"/>
        <n v="27.05"/>
        <n v="48.17"/>
        <n v="43.11"/>
        <n v="29.93"/>
        <n v="29.85"/>
        <n v="25.89"/>
        <n v="34.83"/>
        <n v="34.81"/>
        <n v="30.4"/>
        <n v="23.33"/>
        <n v="24.71"/>
        <n v="29.03"/>
        <n v="32.4"/>
        <n v="23.17"/>
        <n v="28.17"/>
        <n v="34.299999999999997"/>
        <n v="48.27"/>
        <n v="39.42"/>
        <n v="48.33"/>
        <n v="50.81"/>
      </sharedItems>
    </cacheField>
    <cacheField name="tip" numFmtId="0">
      <sharedItems containsSemiMixedTypes="0" containsString="0" containsNumber="1" minValue="1" maxValue="10"/>
    </cacheField>
    <cacheField name="tip %" numFmtId="10">
      <sharedItems containsSemiMixedTypes="0" containsString="0" containsNumber="1" minValue="3.5638135851355467E-2" maxValue="0.71034482758620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x v="0"/>
    <x v="0"/>
    <x v="0"/>
    <x v="0"/>
    <n v="1"/>
    <n v="0.32573289902280134"/>
  </r>
  <r>
    <x v="0"/>
    <x v="0"/>
    <x v="1"/>
    <x v="0"/>
    <x v="1"/>
    <x v="1"/>
    <n v="1"/>
    <n v="0.17391304347826086"/>
  </r>
  <r>
    <x v="0"/>
    <x v="1"/>
    <x v="0"/>
    <x v="0"/>
    <x v="0"/>
    <x v="2"/>
    <n v="1"/>
    <n v="0.13793103448275862"/>
  </r>
  <r>
    <x v="1"/>
    <x v="0"/>
    <x v="0"/>
    <x v="0"/>
    <x v="1"/>
    <x v="3"/>
    <n v="1"/>
    <n v="7.9365079365079361E-2"/>
  </r>
  <r>
    <x v="0"/>
    <x v="1"/>
    <x v="2"/>
    <x v="0"/>
    <x v="1"/>
    <x v="4"/>
    <n v="1.01"/>
    <n v="5.9446733372572107E-2"/>
  </r>
  <r>
    <x v="0"/>
    <x v="0"/>
    <x v="0"/>
    <x v="0"/>
    <x v="1"/>
    <x v="5"/>
    <n v="1.1000000000000001"/>
    <n v="8.5271317829457363E-2"/>
  </r>
  <r>
    <x v="1"/>
    <x v="0"/>
    <x v="0"/>
    <x v="0"/>
    <x v="1"/>
    <x v="6"/>
    <n v="1.17"/>
    <n v="3.5638135851355467E-2"/>
  </r>
  <r>
    <x v="1"/>
    <x v="1"/>
    <x v="0"/>
    <x v="0"/>
    <x v="1"/>
    <x v="7"/>
    <n v="1.25"/>
    <n v="0.11893434823977164"/>
  </r>
  <r>
    <x v="0"/>
    <x v="1"/>
    <x v="3"/>
    <x v="1"/>
    <x v="1"/>
    <x v="8"/>
    <n v="1.25"/>
    <n v="0.14688601645123384"/>
  </r>
  <r>
    <x v="1"/>
    <x v="1"/>
    <x v="0"/>
    <x v="0"/>
    <x v="1"/>
    <x v="9"/>
    <n v="1.25"/>
    <n v="0.12413108242303872"/>
  </r>
  <r>
    <x v="1"/>
    <x v="1"/>
    <x v="2"/>
    <x v="0"/>
    <x v="1"/>
    <x v="10"/>
    <n v="1.32"/>
    <n v="0.13636363636363638"/>
  </r>
  <r>
    <x v="0"/>
    <x v="1"/>
    <x v="3"/>
    <x v="1"/>
    <x v="2"/>
    <x v="11"/>
    <n v="1.36"/>
    <n v="7.2961373390557943E-2"/>
  </r>
  <r>
    <x v="1"/>
    <x v="1"/>
    <x v="3"/>
    <x v="1"/>
    <x v="1"/>
    <x v="12"/>
    <n v="1.44"/>
    <n v="0.19047619047619047"/>
  </r>
  <r>
    <x v="1"/>
    <x v="0"/>
    <x v="0"/>
    <x v="0"/>
    <x v="1"/>
    <x v="13"/>
    <n v="1.44"/>
    <n v="0.18604651162790697"/>
  </r>
  <r>
    <x v="1"/>
    <x v="1"/>
    <x v="0"/>
    <x v="0"/>
    <x v="1"/>
    <x v="14"/>
    <n v="1.45"/>
    <n v="0.15183246073298429"/>
  </r>
  <r>
    <x v="1"/>
    <x v="1"/>
    <x v="0"/>
    <x v="0"/>
    <x v="1"/>
    <x v="15"/>
    <n v="1.47"/>
    <n v="0.13649025069637882"/>
  </r>
  <r>
    <x v="1"/>
    <x v="1"/>
    <x v="3"/>
    <x v="1"/>
    <x v="1"/>
    <x v="16"/>
    <n v="1.48"/>
    <n v="0.17370892018779344"/>
  </r>
  <r>
    <x v="0"/>
    <x v="1"/>
    <x v="0"/>
    <x v="0"/>
    <x v="1"/>
    <x v="17"/>
    <n v="1.5"/>
    <n v="5.679666792881484E-2"/>
  </r>
  <r>
    <x v="1"/>
    <x v="0"/>
    <x v="1"/>
    <x v="0"/>
    <x v="1"/>
    <x v="18"/>
    <n v="1.5"/>
    <n v="0.12468827930174564"/>
  </r>
  <r>
    <x v="1"/>
    <x v="1"/>
    <x v="1"/>
    <x v="0"/>
    <x v="1"/>
    <x v="19"/>
    <n v="1.5"/>
    <n v="0.1203852327447833"/>
  </r>
  <r>
    <x v="0"/>
    <x v="1"/>
    <x v="3"/>
    <x v="1"/>
    <x v="1"/>
    <x v="20"/>
    <n v="1.5"/>
    <n v="0.14084507042253522"/>
  </r>
  <r>
    <x v="1"/>
    <x v="1"/>
    <x v="3"/>
    <x v="1"/>
    <x v="1"/>
    <x v="21"/>
    <n v="1.5"/>
    <n v="7.8616352201257872E-2"/>
  </r>
  <r>
    <x v="0"/>
    <x v="1"/>
    <x v="3"/>
    <x v="1"/>
    <x v="1"/>
    <x v="22"/>
    <n v="1.5"/>
    <n v="0.13428827215756492"/>
  </r>
  <r>
    <x v="0"/>
    <x v="1"/>
    <x v="3"/>
    <x v="1"/>
    <x v="1"/>
    <x v="23"/>
    <n v="1.5"/>
    <n v="0.17964071856287425"/>
  </r>
  <r>
    <x v="1"/>
    <x v="0"/>
    <x v="2"/>
    <x v="0"/>
    <x v="1"/>
    <x v="24"/>
    <n v="1.5"/>
    <n v="9.5602294455066919E-2"/>
  </r>
  <r>
    <x v="1"/>
    <x v="0"/>
    <x v="0"/>
    <x v="0"/>
    <x v="1"/>
    <x v="25"/>
    <n v="1.5"/>
    <n v="0.12942191544434858"/>
  </r>
  <r>
    <x v="1"/>
    <x v="1"/>
    <x v="2"/>
    <x v="0"/>
    <x v="1"/>
    <x v="26"/>
    <n v="1.56"/>
    <n v="0.15694164989939638"/>
  </r>
  <r>
    <x v="1"/>
    <x v="1"/>
    <x v="2"/>
    <x v="0"/>
    <x v="1"/>
    <x v="27"/>
    <n v="1.57"/>
    <n v="0.10181582360570687"/>
  </r>
  <r>
    <x v="1"/>
    <x v="0"/>
    <x v="1"/>
    <x v="1"/>
    <x v="1"/>
    <x v="28"/>
    <n v="1.58"/>
    <n v="0.11773472429210134"/>
  </r>
  <r>
    <x v="0"/>
    <x v="0"/>
    <x v="0"/>
    <x v="0"/>
    <x v="1"/>
    <x v="29"/>
    <n v="1.61"/>
    <n v="0.15203021718602455"/>
  </r>
  <r>
    <x v="0"/>
    <x v="1"/>
    <x v="3"/>
    <x v="1"/>
    <x v="1"/>
    <x v="30"/>
    <n v="1.63"/>
    <n v="0.13732097725358045"/>
  </r>
  <r>
    <x v="1"/>
    <x v="0"/>
    <x v="0"/>
    <x v="0"/>
    <x v="1"/>
    <x v="31"/>
    <n v="1.64"/>
    <n v="0.10677083333333333"/>
  </r>
  <r>
    <x v="1"/>
    <x v="1"/>
    <x v="2"/>
    <x v="0"/>
    <x v="2"/>
    <x v="32"/>
    <n v="1.66"/>
    <n v="0.16054158607350097"/>
  </r>
  <r>
    <x v="0"/>
    <x v="1"/>
    <x v="2"/>
    <x v="0"/>
    <x v="2"/>
    <x v="33"/>
    <n v="1.67"/>
    <n v="0.16166505324298161"/>
  </r>
  <r>
    <x v="0"/>
    <x v="1"/>
    <x v="3"/>
    <x v="1"/>
    <x v="1"/>
    <x v="28"/>
    <n v="1.68"/>
    <n v="0.12518628912071533"/>
  </r>
  <r>
    <x v="1"/>
    <x v="1"/>
    <x v="2"/>
    <x v="0"/>
    <x v="1"/>
    <x v="34"/>
    <n v="1.71"/>
    <n v="0.1665043816942551"/>
  </r>
  <r>
    <x v="1"/>
    <x v="1"/>
    <x v="3"/>
    <x v="1"/>
    <x v="1"/>
    <x v="35"/>
    <n v="1.73"/>
    <n v="0.17689161554192229"/>
  </r>
  <r>
    <x v="1"/>
    <x v="1"/>
    <x v="0"/>
    <x v="0"/>
    <x v="1"/>
    <x v="36"/>
    <n v="1.75"/>
    <n v="9.8204264870931535E-2"/>
  </r>
  <r>
    <x v="1"/>
    <x v="0"/>
    <x v="0"/>
    <x v="0"/>
    <x v="1"/>
    <x v="37"/>
    <n v="1.76"/>
    <n v="0.15658362989323843"/>
  </r>
  <r>
    <x v="0"/>
    <x v="1"/>
    <x v="3"/>
    <x v="1"/>
    <x v="1"/>
    <x v="38"/>
    <n v="1.8"/>
    <n v="0.14481094127111827"/>
  </r>
  <r>
    <x v="0"/>
    <x v="1"/>
    <x v="3"/>
    <x v="1"/>
    <x v="0"/>
    <x v="9"/>
    <n v="1.83"/>
    <n v="0.18172790466732869"/>
  </r>
  <r>
    <x v="1"/>
    <x v="0"/>
    <x v="1"/>
    <x v="1"/>
    <x v="0"/>
    <x v="39"/>
    <n v="1.92"/>
    <n v="0.22377622377622378"/>
  </r>
  <r>
    <x v="1"/>
    <x v="1"/>
    <x v="2"/>
    <x v="0"/>
    <x v="1"/>
    <x v="40"/>
    <n v="1.96"/>
    <n v="0.13031914893617022"/>
  </r>
  <r>
    <x v="1"/>
    <x v="1"/>
    <x v="0"/>
    <x v="0"/>
    <x v="1"/>
    <x v="41"/>
    <n v="1.97"/>
    <n v="0.16389351081530781"/>
  </r>
  <r>
    <x v="1"/>
    <x v="0"/>
    <x v="0"/>
    <x v="0"/>
    <x v="1"/>
    <x v="42"/>
    <n v="1.98"/>
    <n v="0.17967332123411978"/>
  </r>
  <r>
    <x v="1"/>
    <x v="1"/>
    <x v="2"/>
    <x v="0"/>
    <x v="1"/>
    <x v="43"/>
    <n v="2"/>
    <n v="0.22805017103762829"/>
  </r>
  <r>
    <x v="1"/>
    <x v="1"/>
    <x v="0"/>
    <x v="0"/>
    <x v="1"/>
    <x v="44"/>
    <n v="2"/>
    <n v="0.14958863126402394"/>
  </r>
  <r>
    <x v="1"/>
    <x v="1"/>
    <x v="0"/>
    <x v="0"/>
    <x v="1"/>
    <x v="45"/>
    <n v="2"/>
    <n v="0.15760441292356187"/>
  </r>
  <r>
    <x v="1"/>
    <x v="1"/>
    <x v="0"/>
    <x v="0"/>
    <x v="2"/>
    <x v="46"/>
    <n v="2"/>
    <n v="0.12262415695892091"/>
  </r>
  <r>
    <x v="1"/>
    <x v="0"/>
    <x v="0"/>
    <x v="0"/>
    <x v="1"/>
    <x v="47"/>
    <n v="2"/>
    <n v="0.14482259232440259"/>
  </r>
  <r>
    <x v="1"/>
    <x v="1"/>
    <x v="3"/>
    <x v="1"/>
    <x v="1"/>
    <x v="48"/>
    <n v="2"/>
    <n v="0.15349194167306218"/>
  </r>
  <r>
    <x v="1"/>
    <x v="1"/>
    <x v="3"/>
    <x v="1"/>
    <x v="1"/>
    <x v="49"/>
    <n v="2"/>
    <n v="0.12539184952978058"/>
  </r>
  <r>
    <x v="0"/>
    <x v="1"/>
    <x v="3"/>
    <x v="1"/>
    <x v="1"/>
    <x v="50"/>
    <n v="2"/>
    <n v="0.13774104683195593"/>
  </r>
  <r>
    <x v="0"/>
    <x v="1"/>
    <x v="3"/>
    <x v="1"/>
    <x v="1"/>
    <x v="51"/>
    <n v="2"/>
    <n v="0.17574692442882248"/>
  </r>
  <r>
    <x v="0"/>
    <x v="1"/>
    <x v="3"/>
    <x v="1"/>
    <x v="1"/>
    <x v="52"/>
    <n v="2"/>
    <n v="0.16313213703099511"/>
  </r>
  <r>
    <x v="0"/>
    <x v="1"/>
    <x v="3"/>
    <x v="1"/>
    <x v="1"/>
    <x v="33"/>
    <n v="2"/>
    <n v="0.1936108422071636"/>
  </r>
  <r>
    <x v="0"/>
    <x v="1"/>
    <x v="3"/>
    <x v="1"/>
    <x v="1"/>
    <x v="53"/>
    <n v="2"/>
    <n v="0.14134275618374559"/>
  </r>
  <r>
    <x v="1"/>
    <x v="0"/>
    <x v="3"/>
    <x v="1"/>
    <x v="1"/>
    <x v="54"/>
    <n v="2"/>
    <n v="0.125"/>
  </r>
  <r>
    <x v="1"/>
    <x v="1"/>
    <x v="3"/>
    <x v="1"/>
    <x v="1"/>
    <x v="55"/>
    <n v="2"/>
    <n v="0.26631158455392812"/>
  </r>
  <r>
    <x v="1"/>
    <x v="1"/>
    <x v="2"/>
    <x v="0"/>
    <x v="1"/>
    <x v="56"/>
    <n v="2"/>
    <n v="0.15232292460015232"/>
  </r>
  <r>
    <x v="1"/>
    <x v="1"/>
    <x v="2"/>
    <x v="0"/>
    <x v="3"/>
    <x v="57"/>
    <n v="2"/>
    <n v="8.1466395112016296E-2"/>
  </r>
  <r>
    <x v="1"/>
    <x v="1"/>
    <x v="2"/>
    <x v="0"/>
    <x v="3"/>
    <x v="58"/>
    <n v="2"/>
    <n v="0.10116337885685382"/>
  </r>
  <r>
    <x v="1"/>
    <x v="1"/>
    <x v="2"/>
    <x v="0"/>
    <x v="3"/>
    <x v="59"/>
    <n v="2"/>
    <n v="0.12128562765312312"/>
  </r>
  <r>
    <x v="0"/>
    <x v="1"/>
    <x v="2"/>
    <x v="0"/>
    <x v="2"/>
    <x v="60"/>
    <n v="2"/>
    <n v="0.12338062924120913"/>
  </r>
  <r>
    <x v="1"/>
    <x v="1"/>
    <x v="2"/>
    <x v="0"/>
    <x v="1"/>
    <x v="47"/>
    <n v="2"/>
    <n v="0.14482259232440259"/>
  </r>
  <r>
    <x v="0"/>
    <x v="0"/>
    <x v="0"/>
    <x v="0"/>
    <x v="1"/>
    <x v="61"/>
    <n v="2"/>
    <n v="0.18814675446848542"/>
  </r>
  <r>
    <x v="1"/>
    <x v="0"/>
    <x v="2"/>
    <x v="0"/>
    <x v="1"/>
    <x v="62"/>
    <n v="2"/>
    <n v="0.11179429849077696"/>
  </r>
  <r>
    <x v="1"/>
    <x v="0"/>
    <x v="2"/>
    <x v="0"/>
    <x v="1"/>
    <x v="63"/>
    <n v="2"/>
    <n v="0.13812154696132597"/>
  </r>
  <r>
    <x v="1"/>
    <x v="0"/>
    <x v="2"/>
    <x v="0"/>
    <x v="4"/>
    <x v="64"/>
    <n v="2"/>
    <n v="6.5659881812212731E-2"/>
  </r>
  <r>
    <x v="1"/>
    <x v="0"/>
    <x v="3"/>
    <x v="1"/>
    <x v="1"/>
    <x v="32"/>
    <n v="2"/>
    <n v="0.19342359767891684"/>
  </r>
  <r>
    <x v="0"/>
    <x v="0"/>
    <x v="3"/>
    <x v="1"/>
    <x v="1"/>
    <x v="65"/>
    <n v="2"/>
    <n v="0.15384615384615385"/>
  </r>
  <r>
    <x v="1"/>
    <x v="0"/>
    <x v="3"/>
    <x v="1"/>
    <x v="1"/>
    <x v="66"/>
    <n v="2"/>
    <n v="0.14803849000740193"/>
  </r>
  <r>
    <x v="0"/>
    <x v="0"/>
    <x v="3"/>
    <x v="1"/>
    <x v="1"/>
    <x v="65"/>
    <n v="2"/>
    <n v="0.15384615384615385"/>
  </r>
  <r>
    <x v="1"/>
    <x v="0"/>
    <x v="0"/>
    <x v="0"/>
    <x v="2"/>
    <x v="67"/>
    <n v="2"/>
    <n v="6.6533599467731214E-2"/>
  </r>
  <r>
    <x v="0"/>
    <x v="0"/>
    <x v="1"/>
    <x v="1"/>
    <x v="1"/>
    <x v="68"/>
    <n v="2"/>
    <n v="0.19821605550049554"/>
  </r>
  <r>
    <x v="1"/>
    <x v="0"/>
    <x v="0"/>
    <x v="0"/>
    <x v="3"/>
    <x v="69"/>
    <n v="2"/>
    <n v="8.3298625572678045E-2"/>
  </r>
  <r>
    <x v="0"/>
    <x v="0"/>
    <x v="0"/>
    <x v="0"/>
    <x v="1"/>
    <x v="70"/>
    <n v="2"/>
    <n v="7.358351729212656E-2"/>
  </r>
  <r>
    <x v="1"/>
    <x v="0"/>
    <x v="0"/>
    <x v="0"/>
    <x v="1"/>
    <x v="71"/>
    <n v="2"/>
    <n v="8.8222320247022493E-2"/>
  </r>
  <r>
    <x v="1"/>
    <x v="1"/>
    <x v="0"/>
    <x v="0"/>
    <x v="1"/>
    <x v="72"/>
    <n v="2.0099999999999998"/>
    <n v="9.9357390014829447E-2"/>
  </r>
  <r>
    <x v="0"/>
    <x v="0"/>
    <x v="3"/>
    <x v="1"/>
    <x v="1"/>
    <x v="73"/>
    <n v="2.0099999999999998"/>
    <n v="0.15777080062794346"/>
  </r>
  <r>
    <x v="1"/>
    <x v="0"/>
    <x v="3"/>
    <x v="1"/>
    <x v="1"/>
    <x v="74"/>
    <n v="2.02"/>
    <n v="0.13049095607235142"/>
  </r>
  <r>
    <x v="1"/>
    <x v="1"/>
    <x v="3"/>
    <x v="1"/>
    <x v="1"/>
    <x v="75"/>
    <n v="2.0299999999999998"/>
    <n v="0.12703379224030037"/>
  </r>
  <r>
    <x v="1"/>
    <x v="0"/>
    <x v="0"/>
    <x v="0"/>
    <x v="1"/>
    <x v="76"/>
    <n v="2.0299999999999998"/>
    <n v="8.3642356819118246E-2"/>
  </r>
  <r>
    <x v="1"/>
    <x v="1"/>
    <x v="2"/>
    <x v="0"/>
    <x v="2"/>
    <x v="77"/>
    <n v="2.0499999999999998"/>
    <n v="7.1803852889667244E-2"/>
  </r>
  <r>
    <x v="1"/>
    <x v="0"/>
    <x v="0"/>
    <x v="0"/>
    <x v="1"/>
    <x v="78"/>
    <n v="2.09"/>
    <n v="0.13924050632911392"/>
  </r>
  <r>
    <x v="1"/>
    <x v="1"/>
    <x v="3"/>
    <x v="1"/>
    <x v="2"/>
    <x v="79"/>
    <n v="2.1800000000000002"/>
    <n v="9.5530236634531113E-2"/>
  </r>
  <r>
    <x v="0"/>
    <x v="1"/>
    <x v="0"/>
    <x v="0"/>
    <x v="1"/>
    <x v="80"/>
    <n v="2.2000000000000002"/>
    <n v="0.14935505770536323"/>
  </r>
  <r>
    <x v="1"/>
    <x v="0"/>
    <x v="1"/>
    <x v="1"/>
    <x v="1"/>
    <x v="81"/>
    <n v="2.2000000000000002"/>
    <n v="0.18092105263157895"/>
  </r>
  <r>
    <x v="0"/>
    <x v="1"/>
    <x v="0"/>
    <x v="0"/>
    <x v="1"/>
    <x v="82"/>
    <n v="2.23"/>
    <n v="0.14140773620798985"/>
  </r>
  <r>
    <x v="0"/>
    <x v="0"/>
    <x v="0"/>
    <x v="0"/>
    <x v="1"/>
    <x v="83"/>
    <n v="2.23"/>
    <n v="0.17476489028213166"/>
  </r>
  <r>
    <x v="1"/>
    <x v="1"/>
    <x v="0"/>
    <x v="0"/>
    <x v="2"/>
    <x v="84"/>
    <n v="2.2400000000000002"/>
    <n v="0.13965087281795513"/>
  </r>
  <r>
    <x v="1"/>
    <x v="1"/>
    <x v="2"/>
    <x v="0"/>
    <x v="1"/>
    <x v="85"/>
    <n v="2.2400000000000002"/>
    <n v="0.10789980732177264"/>
  </r>
  <r>
    <x v="0"/>
    <x v="1"/>
    <x v="3"/>
    <x v="1"/>
    <x v="1"/>
    <x v="86"/>
    <n v="2.2999999999999998"/>
    <n v="0.13998782714546559"/>
  </r>
  <r>
    <x v="1"/>
    <x v="1"/>
    <x v="0"/>
    <x v="0"/>
    <x v="2"/>
    <x v="87"/>
    <n v="2.31"/>
    <n v="0.12359550561797752"/>
  </r>
  <r>
    <x v="1"/>
    <x v="1"/>
    <x v="3"/>
    <x v="1"/>
    <x v="1"/>
    <x v="88"/>
    <n v="2.31"/>
    <n v="0.19760479041916168"/>
  </r>
  <r>
    <x v="1"/>
    <x v="1"/>
    <x v="0"/>
    <x v="0"/>
    <x v="3"/>
    <x v="89"/>
    <n v="2.34"/>
    <n v="0.13138686131386862"/>
  </r>
  <r>
    <x v="0"/>
    <x v="1"/>
    <x v="0"/>
    <x v="0"/>
    <x v="3"/>
    <x v="90"/>
    <n v="2.4500000000000002"/>
    <n v="0.11841469308844853"/>
  </r>
  <r>
    <x v="0"/>
    <x v="1"/>
    <x v="0"/>
    <x v="0"/>
    <x v="1"/>
    <x v="91"/>
    <n v="2.4700000000000002"/>
    <n v="0.1501519756838906"/>
  </r>
  <r>
    <x v="1"/>
    <x v="1"/>
    <x v="0"/>
    <x v="0"/>
    <x v="3"/>
    <x v="92"/>
    <n v="2.5"/>
    <n v="0.13623978201634876"/>
  </r>
  <r>
    <x v="1"/>
    <x v="1"/>
    <x v="2"/>
    <x v="0"/>
    <x v="1"/>
    <x v="93"/>
    <n v="2.5"/>
    <n v="0.19936204146730463"/>
  </r>
  <r>
    <x v="0"/>
    <x v="0"/>
    <x v="1"/>
    <x v="0"/>
    <x v="1"/>
    <x v="94"/>
    <n v="2.5"/>
    <n v="0.22026431718061676"/>
  </r>
  <r>
    <x v="0"/>
    <x v="0"/>
    <x v="0"/>
    <x v="0"/>
    <x v="2"/>
    <x v="95"/>
    <n v="2.5"/>
    <n v="5.6433408577878111E-2"/>
  </r>
  <r>
    <x v="1"/>
    <x v="1"/>
    <x v="3"/>
    <x v="1"/>
    <x v="1"/>
    <x v="96"/>
    <n v="2.5"/>
    <n v="0.17531556802244039"/>
  </r>
  <r>
    <x v="1"/>
    <x v="1"/>
    <x v="2"/>
    <x v="0"/>
    <x v="1"/>
    <x v="97"/>
    <n v="2.5"/>
    <n v="0.17768301350390903"/>
  </r>
  <r>
    <x v="1"/>
    <x v="1"/>
    <x v="2"/>
    <x v="0"/>
    <x v="1"/>
    <x v="98"/>
    <n v="2.5"/>
    <n v="0.19747235387045814"/>
  </r>
  <r>
    <x v="0"/>
    <x v="0"/>
    <x v="3"/>
    <x v="1"/>
    <x v="1"/>
    <x v="99"/>
    <n v="2.5"/>
    <n v="0.15243902439024393"/>
  </r>
  <r>
    <x v="0"/>
    <x v="0"/>
    <x v="0"/>
    <x v="0"/>
    <x v="1"/>
    <x v="100"/>
    <n v="2.5"/>
    <n v="0.18839487565938207"/>
  </r>
  <r>
    <x v="0"/>
    <x v="0"/>
    <x v="1"/>
    <x v="1"/>
    <x v="1"/>
    <x v="101"/>
    <n v="2.5"/>
    <n v="0.15365703749231716"/>
  </r>
  <r>
    <x v="0"/>
    <x v="1"/>
    <x v="3"/>
    <x v="1"/>
    <x v="1"/>
    <x v="102"/>
    <n v="2.52"/>
    <n v="0.20192307692307693"/>
  </r>
  <r>
    <x v="1"/>
    <x v="1"/>
    <x v="2"/>
    <x v="0"/>
    <x v="1"/>
    <x v="103"/>
    <n v="2.54"/>
    <n v="0.14547537227949597"/>
  </r>
  <r>
    <x v="1"/>
    <x v="1"/>
    <x v="2"/>
    <x v="0"/>
    <x v="1"/>
    <x v="104"/>
    <n v="2.5499999999999998"/>
    <n v="0.10647181628392484"/>
  </r>
  <r>
    <x v="1"/>
    <x v="0"/>
    <x v="3"/>
    <x v="1"/>
    <x v="1"/>
    <x v="105"/>
    <n v="2.56"/>
    <n v="9.0014064697609003E-2"/>
  </r>
  <r>
    <x v="0"/>
    <x v="1"/>
    <x v="2"/>
    <x v="0"/>
    <x v="1"/>
    <x v="106"/>
    <n v="2.6"/>
    <n v="0.25267249757045679"/>
  </r>
  <r>
    <x v="0"/>
    <x v="1"/>
    <x v="2"/>
    <x v="0"/>
    <x v="1"/>
    <x v="107"/>
    <n v="2.61"/>
    <n v="0.19492158327109782"/>
  </r>
  <r>
    <x v="1"/>
    <x v="1"/>
    <x v="0"/>
    <x v="0"/>
    <x v="2"/>
    <x v="108"/>
    <n v="2.64"/>
    <n v="0.15008527572484368"/>
  </r>
  <r>
    <x v="1"/>
    <x v="1"/>
    <x v="3"/>
    <x v="1"/>
    <x v="1"/>
    <x v="109"/>
    <n v="2.71"/>
    <n v="0.15673799884326201"/>
  </r>
  <r>
    <x v="1"/>
    <x v="1"/>
    <x v="0"/>
    <x v="0"/>
    <x v="1"/>
    <x v="110"/>
    <n v="2.72"/>
    <n v="0.20481927710843376"/>
  </r>
  <r>
    <x v="1"/>
    <x v="1"/>
    <x v="2"/>
    <x v="0"/>
    <x v="2"/>
    <x v="111"/>
    <n v="2.74"/>
    <n v="0.15874855156431053"/>
  </r>
  <r>
    <x v="0"/>
    <x v="1"/>
    <x v="0"/>
    <x v="0"/>
    <x v="1"/>
    <x v="112"/>
    <n v="2.75"/>
    <n v="0.13553474618038444"/>
  </r>
  <r>
    <x v="0"/>
    <x v="1"/>
    <x v="3"/>
    <x v="1"/>
    <x v="1"/>
    <x v="113"/>
    <n v="2.75"/>
    <n v="0.20896656534954408"/>
  </r>
  <r>
    <x v="0"/>
    <x v="1"/>
    <x v="3"/>
    <x v="1"/>
    <x v="1"/>
    <x v="114"/>
    <n v="2.83"/>
    <n v="0.13961519486926494"/>
  </r>
  <r>
    <x v="0"/>
    <x v="0"/>
    <x v="0"/>
    <x v="0"/>
    <x v="1"/>
    <x v="115"/>
    <n v="2.88"/>
    <n v="0.13019891500904157"/>
  </r>
  <r>
    <x v="0"/>
    <x v="1"/>
    <x v="3"/>
    <x v="1"/>
    <x v="3"/>
    <x v="116"/>
    <n v="2.92"/>
    <n v="0.1212624584717608"/>
  </r>
  <r>
    <x v="1"/>
    <x v="1"/>
    <x v="2"/>
    <x v="0"/>
    <x v="3"/>
    <x v="117"/>
    <n v="3"/>
    <n v="0.16277807921866522"/>
  </r>
  <r>
    <x v="0"/>
    <x v="1"/>
    <x v="0"/>
    <x v="0"/>
    <x v="1"/>
    <x v="118"/>
    <n v="3"/>
    <n v="0.15267175572519084"/>
  </r>
  <r>
    <x v="0"/>
    <x v="1"/>
    <x v="0"/>
    <x v="0"/>
    <x v="1"/>
    <x v="119"/>
    <n v="3"/>
    <n v="0.19920318725099601"/>
  </r>
  <r>
    <x v="1"/>
    <x v="1"/>
    <x v="2"/>
    <x v="0"/>
    <x v="1"/>
    <x v="120"/>
    <n v="3"/>
    <n v="0.16402405686167304"/>
  </r>
  <r>
    <x v="1"/>
    <x v="1"/>
    <x v="2"/>
    <x v="0"/>
    <x v="1"/>
    <x v="121"/>
    <n v="3"/>
    <n v="0.16629711751662973"/>
  </r>
  <r>
    <x v="1"/>
    <x v="0"/>
    <x v="0"/>
    <x v="0"/>
    <x v="3"/>
    <x v="122"/>
    <n v="3"/>
    <n v="7.8926598263614839E-2"/>
  </r>
  <r>
    <x v="0"/>
    <x v="1"/>
    <x v="0"/>
    <x v="0"/>
    <x v="2"/>
    <x v="123"/>
    <n v="3"/>
    <n v="0.1757469244288225"/>
  </r>
  <r>
    <x v="1"/>
    <x v="1"/>
    <x v="3"/>
    <x v="1"/>
    <x v="1"/>
    <x v="124"/>
    <n v="3"/>
    <n v="0.13181019332161686"/>
  </r>
  <r>
    <x v="1"/>
    <x v="0"/>
    <x v="3"/>
    <x v="1"/>
    <x v="1"/>
    <x v="125"/>
    <n v="3"/>
    <n v="0.15432098765432098"/>
  </r>
  <r>
    <x v="1"/>
    <x v="1"/>
    <x v="3"/>
    <x v="1"/>
    <x v="1"/>
    <x v="126"/>
    <n v="3"/>
    <n v="0.14177693761814744"/>
  </r>
  <r>
    <x v="1"/>
    <x v="0"/>
    <x v="1"/>
    <x v="0"/>
    <x v="1"/>
    <x v="127"/>
    <n v="3"/>
    <n v="0.10355540214014498"/>
  </r>
  <r>
    <x v="1"/>
    <x v="0"/>
    <x v="1"/>
    <x v="0"/>
    <x v="1"/>
    <x v="128"/>
    <n v="3"/>
    <n v="0.1427891480247501"/>
  </r>
  <r>
    <x v="0"/>
    <x v="0"/>
    <x v="1"/>
    <x v="0"/>
    <x v="1"/>
    <x v="129"/>
    <n v="3"/>
    <n v="0.19505851755526657"/>
  </r>
  <r>
    <x v="1"/>
    <x v="1"/>
    <x v="0"/>
    <x v="0"/>
    <x v="1"/>
    <x v="130"/>
    <n v="3"/>
    <n v="0.21428571428571427"/>
  </r>
  <r>
    <x v="0"/>
    <x v="0"/>
    <x v="2"/>
    <x v="0"/>
    <x v="1"/>
    <x v="131"/>
    <n v="3"/>
    <n v="0.17133066818960593"/>
  </r>
  <r>
    <x v="1"/>
    <x v="0"/>
    <x v="2"/>
    <x v="0"/>
    <x v="1"/>
    <x v="132"/>
    <n v="3"/>
    <n v="7.3982737361282372E-2"/>
  </r>
  <r>
    <x v="1"/>
    <x v="0"/>
    <x v="0"/>
    <x v="0"/>
    <x v="3"/>
    <x v="133"/>
    <n v="3"/>
    <n v="7.7459333849728904E-2"/>
  </r>
  <r>
    <x v="1"/>
    <x v="0"/>
    <x v="0"/>
    <x v="0"/>
    <x v="4"/>
    <x v="134"/>
    <n v="3"/>
    <n v="0.10657193605683837"/>
  </r>
  <r>
    <x v="0"/>
    <x v="1"/>
    <x v="1"/>
    <x v="1"/>
    <x v="2"/>
    <x v="75"/>
    <n v="3"/>
    <n v="0.18773466833541927"/>
  </r>
  <r>
    <x v="1"/>
    <x v="1"/>
    <x v="0"/>
    <x v="0"/>
    <x v="3"/>
    <x v="135"/>
    <n v="3"/>
    <n v="0.14669926650366749"/>
  </r>
  <r>
    <x v="1"/>
    <x v="0"/>
    <x v="0"/>
    <x v="0"/>
    <x v="2"/>
    <x v="24"/>
    <n v="3"/>
    <n v="0.19120458891013384"/>
  </r>
  <r>
    <x v="1"/>
    <x v="0"/>
    <x v="0"/>
    <x v="0"/>
    <x v="1"/>
    <x v="136"/>
    <n v="3"/>
    <n v="0.19317450096587252"/>
  </r>
  <r>
    <x v="0"/>
    <x v="1"/>
    <x v="3"/>
    <x v="0"/>
    <x v="1"/>
    <x v="137"/>
    <n v="3"/>
    <n v="0.15974440894568689"/>
  </r>
  <r>
    <x v="0"/>
    <x v="1"/>
    <x v="2"/>
    <x v="0"/>
    <x v="1"/>
    <x v="138"/>
    <n v="3.02"/>
    <n v="0.20364126770060686"/>
  </r>
  <r>
    <x v="1"/>
    <x v="1"/>
    <x v="2"/>
    <x v="0"/>
    <x v="1"/>
    <x v="139"/>
    <n v="3.06"/>
    <n v="0.21951219512195122"/>
  </r>
  <r>
    <x v="0"/>
    <x v="1"/>
    <x v="0"/>
    <x v="0"/>
    <x v="2"/>
    <x v="140"/>
    <n v="3.07"/>
    <n v="0.1813349084465446"/>
  </r>
  <r>
    <x v="1"/>
    <x v="0"/>
    <x v="0"/>
    <x v="0"/>
    <x v="1"/>
    <x v="141"/>
    <n v="3.08"/>
    <n v="0.171875"/>
  </r>
  <r>
    <x v="0"/>
    <x v="0"/>
    <x v="0"/>
    <x v="0"/>
    <x v="3"/>
    <x v="142"/>
    <n v="3.09"/>
    <n v="0.10252156602521566"/>
  </r>
  <r>
    <x v="1"/>
    <x v="0"/>
    <x v="2"/>
    <x v="0"/>
    <x v="1"/>
    <x v="143"/>
    <n v="3.11"/>
    <n v="9.4528875379939203E-2"/>
  </r>
  <r>
    <x v="1"/>
    <x v="1"/>
    <x v="2"/>
    <x v="0"/>
    <x v="3"/>
    <x v="144"/>
    <n v="3.12"/>
    <n v="0.11607142857142858"/>
  </r>
  <r>
    <x v="0"/>
    <x v="0"/>
    <x v="0"/>
    <x v="0"/>
    <x v="1"/>
    <x v="145"/>
    <n v="3.14"/>
    <n v="0.11690245718540582"/>
  </r>
  <r>
    <x v="1"/>
    <x v="1"/>
    <x v="0"/>
    <x v="0"/>
    <x v="2"/>
    <x v="146"/>
    <n v="3.15"/>
    <n v="0.15687250996015936"/>
  </r>
  <r>
    <x v="1"/>
    <x v="0"/>
    <x v="0"/>
    <x v="0"/>
    <x v="1"/>
    <x v="147"/>
    <n v="3.16"/>
    <n v="0.19987349778621127"/>
  </r>
  <r>
    <x v="1"/>
    <x v="1"/>
    <x v="0"/>
    <x v="0"/>
    <x v="1"/>
    <x v="148"/>
    <n v="3.18"/>
    <n v="0.16044399596367306"/>
  </r>
  <r>
    <x v="1"/>
    <x v="0"/>
    <x v="2"/>
    <x v="0"/>
    <x v="1"/>
    <x v="149"/>
    <n v="3.18"/>
    <n v="9.9843014128728411E-2"/>
  </r>
  <r>
    <x v="1"/>
    <x v="0"/>
    <x v="0"/>
    <x v="0"/>
    <x v="1"/>
    <x v="112"/>
    <n v="3.21"/>
    <n v="0.15820601281419419"/>
  </r>
  <r>
    <x v="1"/>
    <x v="1"/>
    <x v="2"/>
    <x v="0"/>
    <x v="1"/>
    <x v="150"/>
    <n v="3.23"/>
    <n v="0.21853856562922869"/>
  </r>
  <r>
    <x v="0"/>
    <x v="0"/>
    <x v="3"/>
    <x v="1"/>
    <x v="2"/>
    <x v="151"/>
    <n v="3.23"/>
    <n v="0.19611414693381907"/>
  </r>
  <r>
    <x v="0"/>
    <x v="1"/>
    <x v="1"/>
    <x v="0"/>
    <x v="1"/>
    <x v="152"/>
    <n v="3.25"/>
    <n v="0.14285714285714285"/>
  </r>
  <r>
    <x v="0"/>
    <x v="1"/>
    <x v="3"/>
    <x v="1"/>
    <x v="1"/>
    <x v="153"/>
    <n v="3.25"/>
    <n v="0.17798466593647316"/>
  </r>
  <r>
    <x v="1"/>
    <x v="1"/>
    <x v="0"/>
    <x v="0"/>
    <x v="1"/>
    <x v="154"/>
    <n v="3.27"/>
    <n v="0.18391451068616421"/>
  </r>
  <r>
    <x v="1"/>
    <x v="1"/>
    <x v="2"/>
    <x v="0"/>
    <x v="1"/>
    <x v="155"/>
    <n v="3.31"/>
    <n v="0.1397804054054054"/>
  </r>
  <r>
    <x v="1"/>
    <x v="1"/>
    <x v="0"/>
    <x v="0"/>
    <x v="2"/>
    <x v="156"/>
    <n v="3.35"/>
    <n v="0.16222760290556903"/>
  </r>
  <r>
    <x v="1"/>
    <x v="1"/>
    <x v="0"/>
    <x v="0"/>
    <x v="1"/>
    <x v="157"/>
    <n v="3.39"/>
    <n v="0.29198966408268734"/>
  </r>
  <r>
    <x v="1"/>
    <x v="1"/>
    <x v="3"/>
    <x v="1"/>
    <x v="1"/>
    <x v="158"/>
    <n v="3.4"/>
    <n v="0.20408163265306123"/>
  </r>
  <r>
    <x v="1"/>
    <x v="0"/>
    <x v="0"/>
    <x v="0"/>
    <x v="2"/>
    <x v="159"/>
    <n v="3.41"/>
    <n v="0.1282437006393381"/>
  </r>
  <r>
    <x v="0"/>
    <x v="0"/>
    <x v="0"/>
    <x v="0"/>
    <x v="1"/>
    <x v="160"/>
    <n v="3.48"/>
    <n v="0.15521855486173058"/>
  </r>
  <r>
    <x v="1"/>
    <x v="1"/>
    <x v="2"/>
    <x v="0"/>
    <x v="2"/>
    <x v="161"/>
    <n v="3.48"/>
    <n v="0.14192495921696574"/>
  </r>
  <r>
    <x v="0"/>
    <x v="0"/>
    <x v="1"/>
    <x v="1"/>
    <x v="1"/>
    <x v="28"/>
    <n v="3.48"/>
    <n v="0.25931445603576753"/>
  </r>
  <r>
    <x v="1"/>
    <x v="1"/>
    <x v="2"/>
    <x v="0"/>
    <x v="2"/>
    <x v="128"/>
    <n v="3.5"/>
    <n v="0.16658733936220846"/>
  </r>
  <r>
    <x v="0"/>
    <x v="1"/>
    <x v="2"/>
    <x v="0"/>
    <x v="2"/>
    <x v="162"/>
    <n v="3.5"/>
    <n v="0.20624631703005306"/>
  </r>
  <r>
    <x v="1"/>
    <x v="1"/>
    <x v="1"/>
    <x v="0"/>
    <x v="1"/>
    <x v="163"/>
    <n v="3.5"/>
    <n v="0.15562472209871056"/>
  </r>
  <r>
    <x v="0"/>
    <x v="1"/>
    <x v="2"/>
    <x v="0"/>
    <x v="1"/>
    <x v="164"/>
    <n v="3.5"/>
    <n v="0.20219526285384173"/>
  </r>
  <r>
    <x v="0"/>
    <x v="1"/>
    <x v="3"/>
    <x v="1"/>
    <x v="1"/>
    <x v="165"/>
    <n v="3.5"/>
    <n v="0.20034344590726963"/>
  </r>
  <r>
    <x v="1"/>
    <x v="1"/>
    <x v="2"/>
    <x v="0"/>
    <x v="3"/>
    <x v="166"/>
    <n v="3.5"/>
    <n v="0.16279069767441862"/>
  </r>
  <r>
    <x v="1"/>
    <x v="0"/>
    <x v="2"/>
    <x v="0"/>
    <x v="2"/>
    <x v="167"/>
    <n v="3.5"/>
    <n v="7.7177508269018744E-2"/>
  </r>
  <r>
    <x v="0"/>
    <x v="0"/>
    <x v="2"/>
    <x v="0"/>
    <x v="2"/>
    <x v="168"/>
    <n v="3.5"/>
    <n v="0.1674641148325359"/>
  </r>
  <r>
    <x v="0"/>
    <x v="0"/>
    <x v="2"/>
    <x v="0"/>
    <x v="2"/>
    <x v="169"/>
    <n v="3.5"/>
    <n v="0.1928374655647383"/>
  </r>
  <r>
    <x v="1"/>
    <x v="1"/>
    <x v="2"/>
    <x v="0"/>
    <x v="1"/>
    <x v="170"/>
    <n v="3.51"/>
    <n v="0.18009235505387378"/>
  </r>
  <r>
    <x v="1"/>
    <x v="0"/>
    <x v="2"/>
    <x v="0"/>
    <x v="1"/>
    <x v="171"/>
    <n v="3.55"/>
    <n v="0.102512272596015"/>
  </r>
  <r>
    <x v="1"/>
    <x v="1"/>
    <x v="0"/>
    <x v="0"/>
    <x v="2"/>
    <x v="172"/>
    <n v="3.6"/>
    <n v="0.14962593516209477"/>
  </r>
  <r>
    <x v="0"/>
    <x v="1"/>
    <x v="2"/>
    <x v="0"/>
    <x v="3"/>
    <x v="173"/>
    <n v="3.61"/>
    <n v="0.14680764538430255"/>
  </r>
  <r>
    <x v="1"/>
    <x v="0"/>
    <x v="2"/>
    <x v="0"/>
    <x v="3"/>
    <x v="174"/>
    <n v="3.68"/>
    <n v="0.10620490620490622"/>
  </r>
  <r>
    <x v="1"/>
    <x v="1"/>
    <x v="2"/>
    <x v="0"/>
    <x v="2"/>
    <x v="175"/>
    <n v="3.71"/>
    <n v="0.22774708410067526"/>
  </r>
  <r>
    <x v="0"/>
    <x v="1"/>
    <x v="2"/>
    <x v="0"/>
    <x v="3"/>
    <x v="176"/>
    <n v="3.75"/>
    <n v="0.15"/>
  </r>
  <r>
    <x v="1"/>
    <x v="0"/>
    <x v="0"/>
    <x v="0"/>
    <x v="3"/>
    <x v="120"/>
    <n v="3.76"/>
    <n v="0.20557681793329688"/>
  </r>
  <r>
    <x v="1"/>
    <x v="1"/>
    <x v="0"/>
    <x v="0"/>
    <x v="1"/>
    <x v="177"/>
    <n v="3.76"/>
    <n v="0.20614035087719298"/>
  </r>
  <r>
    <x v="1"/>
    <x v="1"/>
    <x v="2"/>
    <x v="0"/>
    <x v="1"/>
    <x v="178"/>
    <n v="3.92"/>
    <n v="0.18164967562557924"/>
  </r>
  <r>
    <x v="1"/>
    <x v="1"/>
    <x v="3"/>
    <x v="1"/>
    <x v="3"/>
    <x v="179"/>
    <n v="4"/>
    <n v="0.14705882352941177"/>
  </r>
  <r>
    <x v="1"/>
    <x v="1"/>
    <x v="3"/>
    <x v="1"/>
    <x v="1"/>
    <x v="180"/>
    <n v="4"/>
    <n v="0.21881838074398249"/>
  </r>
  <r>
    <x v="1"/>
    <x v="0"/>
    <x v="1"/>
    <x v="0"/>
    <x v="1"/>
    <x v="181"/>
    <n v="4"/>
    <n v="0.14662756598240467"/>
  </r>
  <r>
    <x v="0"/>
    <x v="0"/>
    <x v="0"/>
    <x v="0"/>
    <x v="1"/>
    <x v="182"/>
    <n v="4"/>
    <n v="0.27952480782669459"/>
  </r>
  <r>
    <x v="1"/>
    <x v="1"/>
    <x v="2"/>
    <x v="0"/>
    <x v="2"/>
    <x v="183"/>
    <n v="4"/>
    <n v="0.10506960861570791"/>
  </r>
  <r>
    <x v="0"/>
    <x v="1"/>
    <x v="2"/>
    <x v="0"/>
    <x v="2"/>
    <x v="184"/>
    <n v="4"/>
    <n v="0.15558148580318942"/>
  </r>
  <r>
    <x v="1"/>
    <x v="0"/>
    <x v="2"/>
    <x v="0"/>
    <x v="1"/>
    <x v="185"/>
    <n v="4"/>
    <n v="0.23781212841854935"/>
  </r>
  <r>
    <x v="0"/>
    <x v="0"/>
    <x v="2"/>
    <x v="0"/>
    <x v="1"/>
    <x v="186"/>
    <n v="4"/>
    <n v="0.41666666666666669"/>
  </r>
  <r>
    <x v="1"/>
    <x v="0"/>
    <x v="2"/>
    <x v="0"/>
    <x v="2"/>
    <x v="187"/>
    <n v="4"/>
    <n v="0.17316017316017315"/>
  </r>
  <r>
    <x v="1"/>
    <x v="0"/>
    <x v="3"/>
    <x v="1"/>
    <x v="1"/>
    <x v="188"/>
    <n v="4"/>
    <n v="0.24125452352231608"/>
  </r>
  <r>
    <x v="1"/>
    <x v="0"/>
    <x v="3"/>
    <x v="1"/>
    <x v="2"/>
    <x v="189"/>
    <n v="4"/>
    <n v="0.2137894174238375"/>
  </r>
  <r>
    <x v="1"/>
    <x v="0"/>
    <x v="3"/>
    <x v="1"/>
    <x v="3"/>
    <x v="190"/>
    <n v="4"/>
    <n v="0.19483682415976619"/>
  </r>
  <r>
    <x v="1"/>
    <x v="0"/>
    <x v="0"/>
    <x v="0"/>
    <x v="1"/>
    <x v="191"/>
    <n v="4.0599999999999996"/>
    <n v="0.19814543679843827"/>
  </r>
  <r>
    <x v="1"/>
    <x v="1"/>
    <x v="0"/>
    <x v="0"/>
    <x v="1"/>
    <x v="141"/>
    <n v="4.08"/>
    <n v="0.22767857142857142"/>
  </r>
  <r>
    <x v="0"/>
    <x v="1"/>
    <x v="0"/>
    <x v="0"/>
    <x v="1"/>
    <x v="192"/>
    <n v="4.08"/>
    <n v="0.19502868068833651"/>
  </r>
  <r>
    <x v="0"/>
    <x v="0"/>
    <x v="3"/>
    <x v="1"/>
    <x v="1"/>
    <x v="193"/>
    <n v="4.1900000000000004"/>
    <n v="0.21150933871781932"/>
  </r>
  <r>
    <x v="0"/>
    <x v="1"/>
    <x v="3"/>
    <x v="1"/>
    <x v="5"/>
    <x v="194"/>
    <n v="4.2"/>
    <n v="0.14093959731543623"/>
  </r>
  <r>
    <x v="1"/>
    <x v="0"/>
    <x v="0"/>
    <x v="0"/>
    <x v="1"/>
    <x v="195"/>
    <n v="4.29"/>
    <n v="0.17017056723522411"/>
  </r>
  <r>
    <x v="1"/>
    <x v="1"/>
    <x v="0"/>
    <x v="0"/>
    <x v="1"/>
    <x v="196"/>
    <n v="4.3"/>
    <n v="0.19815668202764977"/>
  </r>
  <r>
    <x v="0"/>
    <x v="0"/>
    <x v="1"/>
    <x v="0"/>
    <x v="1"/>
    <x v="197"/>
    <n v="4.3"/>
    <n v="0.26348039215686275"/>
  </r>
  <r>
    <x v="1"/>
    <x v="1"/>
    <x v="2"/>
    <x v="0"/>
    <x v="3"/>
    <x v="198"/>
    <n v="4.34"/>
    <n v="0.16979655712050079"/>
  </r>
  <r>
    <x v="1"/>
    <x v="1"/>
    <x v="2"/>
    <x v="0"/>
    <x v="3"/>
    <x v="199"/>
    <n v="4.5"/>
    <n v="0.14191106906338694"/>
  </r>
  <r>
    <x v="0"/>
    <x v="1"/>
    <x v="0"/>
    <x v="0"/>
    <x v="2"/>
    <x v="200"/>
    <n v="4.67"/>
    <n v="0.13033770583310075"/>
  </r>
  <r>
    <x v="1"/>
    <x v="1"/>
    <x v="2"/>
    <x v="0"/>
    <x v="3"/>
    <x v="201"/>
    <n v="4.71"/>
    <n v="0.18623962040332148"/>
  </r>
  <r>
    <x v="1"/>
    <x v="0"/>
    <x v="1"/>
    <x v="0"/>
    <x v="3"/>
    <x v="202"/>
    <n v="4.7300000000000004"/>
    <n v="0.1177495643515061"/>
  </r>
  <r>
    <x v="0"/>
    <x v="1"/>
    <x v="2"/>
    <x v="0"/>
    <x v="3"/>
    <x v="203"/>
    <n v="5"/>
    <n v="0.14180374361883155"/>
  </r>
  <r>
    <x v="1"/>
    <x v="1"/>
    <x v="0"/>
    <x v="0"/>
    <x v="2"/>
    <x v="204"/>
    <n v="5"/>
    <n v="0.1598976654940838"/>
  </r>
  <r>
    <x v="1"/>
    <x v="1"/>
    <x v="2"/>
    <x v="0"/>
    <x v="1"/>
    <x v="205"/>
    <n v="5"/>
    <n v="0.22492127755285649"/>
  </r>
  <r>
    <x v="0"/>
    <x v="0"/>
    <x v="0"/>
    <x v="0"/>
    <x v="1"/>
    <x v="206"/>
    <n v="5"/>
    <n v="0.19778481012658228"/>
  </r>
  <r>
    <x v="1"/>
    <x v="0"/>
    <x v="3"/>
    <x v="1"/>
    <x v="1"/>
    <x v="207"/>
    <n v="5"/>
    <n v="0.15299877600979192"/>
  </r>
  <r>
    <x v="1"/>
    <x v="1"/>
    <x v="3"/>
    <x v="1"/>
    <x v="4"/>
    <x v="208"/>
    <n v="5"/>
    <n v="0.12138868657441128"/>
  </r>
  <r>
    <x v="0"/>
    <x v="1"/>
    <x v="3"/>
    <x v="1"/>
    <x v="5"/>
    <x v="209"/>
    <n v="5"/>
    <n v="0.18484288354898337"/>
  </r>
  <r>
    <x v="1"/>
    <x v="1"/>
    <x v="2"/>
    <x v="0"/>
    <x v="5"/>
    <x v="210"/>
    <n v="5"/>
    <n v="0.10379904504878555"/>
  </r>
  <r>
    <x v="1"/>
    <x v="1"/>
    <x v="2"/>
    <x v="0"/>
    <x v="4"/>
    <x v="90"/>
    <n v="5"/>
    <n v="0.24166263895601739"/>
  </r>
  <r>
    <x v="0"/>
    <x v="0"/>
    <x v="3"/>
    <x v="1"/>
    <x v="3"/>
    <x v="211"/>
    <n v="5"/>
    <n v="0.11598237067965669"/>
  </r>
  <r>
    <x v="1"/>
    <x v="1"/>
    <x v="2"/>
    <x v="0"/>
    <x v="3"/>
    <x v="212"/>
    <n v="5.07"/>
    <n v="0.1693952555963916"/>
  </r>
  <r>
    <x v="0"/>
    <x v="1"/>
    <x v="2"/>
    <x v="0"/>
    <x v="4"/>
    <x v="213"/>
    <n v="5.14"/>
    <n v="0.17219430485762141"/>
  </r>
  <r>
    <x v="1"/>
    <x v="0"/>
    <x v="2"/>
    <x v="0"/>
    <x v="1"/>
    <x v="2"/>
    <n v="5.15"/>
    <n v="0.71034482758620698"/>
  </r>
  <r>
    <x v="1"/>
    <x v="0"/>
    <x v="0"/>
    <x v="0"/>
    <x v="3"/>
    <x v="214"/>
    <n v="5.16"/>
    <n v="0.19930475086906141"/>
  </r>
  <r>
    <x v="0"/>
    <x v="1"/>
    <x v="3"/>
    <x v="1"/>
    <x v="3"/>
    <x v="215"/>
    <n v="5.17"/>
    <n v="0.14843525696238874"/>
  </r>
  <r>
    <x v="0"/>
    <x v="1"/>
    <x v="2"/>
    <x v="0"/>
    <x v="3"/>
    <x v="216"/>
    <n v="5.2"/>
    <n v="0.14938236139040506"/>
  </r>
  <r>
    <x v="1"/>
    <x v="1"/>
    <x v="2"/>
    <x v="0"/>
    <x v="3"/>
    <x v="217"/>
    <n v="5.6"/>
    <n v="0.18421052631578946"/>
  </r>
  <r>
    <x v="1"/>
    <x v="0"/>
    <x v="2"/>
    <x v="0"/>
    <x v="1"/>
    <x v="218"/>
    <n v="5.65"/>
    <n v="0.24217745392198889"/>
  </r>
  <r>
    <x v="1"/>
    <x v="1"/>
    <x v="3"/>
    <x v="1"/>
    <x v="1"/>
    <x v="219"/>
    <n v="5.85"/>
    <n v="0.23674625657628487"/>
  </r>
  <r>
    <x v="1"/>
    <x v="1"/>
    <x v="0"/>
    <x v="0"/>
    <x v="2"/>
    <x v="220"/>
    <n v="5.92"/>
    <n v="0.20392697209782981"/>
  </r>
  <r>
    <x v="1"/>
    <x v="1"/>
    <x v="2"/>
    <x v="0"/>
    <x v="3"/>
    <x v="221"/>
    <n v="6"/>
    <n v="0.1851851851851852"/>
  </r>
  <r>
    <x v="1"/>
    <x v="0"/>
    <x v="2"/>
    <x v="0"/>
    <x v="3"/>
    <x v="222"/>
    <n v="6.5"/>
    <n v="0.28053517479499351"/>
  </r>
  <r>
    <x v="0"/>
    <x v="0"/>
    <x v="0"/>
    <x v="0"/>
    <x v="2"/>
    <x v="223"/>
    <n v="6.5"/>
    <n v="0.23074192403265883"/>
  </r>
  <r>
    <x v="1"/>
    <x v="1"/>
    <x v="3"/>
    <x v="1"/>
    <x v="5"/>
    <x v="224"/>
    <n v="6.7"/>
    <n v="0.19533527696793004"/>
  </r>
  <r>
    <x v="1"/>
    <x v="1"/>
    <x v="0"/>
    <x v="0"/>
    <x v="3"/>
    <x v="225"/>
    <n v="6.73"/>
    <n v="0.13942407292314066"/>
  </r>
  <r>
    <x v="1"/>
    <x v="1"/>
    <x v="0"/>
    <x v="0"/>
    <x v="3"/>
    <x v="226"/>
    <n v="7.58"/>
    <n v="0.19228817858954844"/>
  </r>
  <r>
    <x v="1"/>
    <x v="1"/>
    <x v="0"/>
    <x v="0"/>
    <x v="3"/>
    <x v="227"/>
    <n v="9"/>
    <n v="0.18621973929236499"/>
  </r>
  <r>
    <x v="1"/>
    <x v="0"/>
    <x v="0"/>
    <x v="0"/>
    <x v="2"/>
    <x v="228"/>
    <n v="10"/>
    <n v="0.196811651249753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70D7C-277E-C846-ACB6-FFF331E2833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6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ize" fld="4" baseField="0" baseItem="0"/>
    <dataField name="Sum of total_bill" fld="5" baseField="0" baseItem="0"/>
    <dataField name="Average of tip %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6916D-B1B6-3748-9D31-F5EA474266F2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E26:AG29" firstHeaderRow="0" firstDataRow="1" firstDataCol="1"/>
  <pivotFields count="8"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numFmtId="1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p" fld="6" subtotal="average" baseField="0" baseItem="0" numFmtId="170"/>
    <dataField name="Average of tip %" fld="7" subtotal="average" baseField="0" baseItem="0" numFmtId="1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24B5D-A4D6-BD49-A3B5-C5FEC2EC56B6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W32:Y37" firstHeaderRow="0" firstDataRow="1" firstDataCol="1"/>
  <pivotFields count="8"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numFmtId="1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p" fld="6" subtotal="average" baseField="0" baseItem="0"/>
    <dataField name="Average of tip %" fld="7" subtotal="average" baseField="0" baseItem="0" numFmtId="1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78CCC-190A-7A4F-ACC5-326FB084489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A26:AC29" firstHeaderRow="0" firstDataRow="1" firstDataCol="1"/>
  <pivotFields count="8"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numFmtId="10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p" fld="6" subtotal="average" baseField="0" baseItem="0" numFmtId="170"/>
    <dataField name="Average of tip %" fld="7" subtotal="average" baseField="0" baseItem="0" numFmtId="1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2DCD5-A07E-6C43-8DC9-981158E8512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A32:AD39" firstHeaderRow="0" firstDataRow="1" firstDataCol="1"/>
  <pivotFields count="8"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numFmtId="1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_bill" fld="5" subtotal="average" baseField="0" baseItem="0"/>
    <dataField name="Average of tip" fld="6" subtotal="average" baseField="0" baseItem="0"/>
    <dataField name="Average of tip %" fld="7" subtotal="average" baseField="0" baseItem="0" numFmtId="10"/>
  </dataFields>
  <formats count="7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A0B4B-D025-2645-85A1-9A7EF4D4A05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W26:Y29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p" fld="6" subtotal="average" baseField="0" baseItem="0" numFmtId="170"/>
    <dataField name="Average of tip %" fld="7" subtotal="average" baseField="0" baseItem="0" numFmtId="1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F867-33FE-B64F-917C-1AD3A728FEBA}">
  <dimension ref="A3:D6"/>
  <sheetViews>
    <sheetView zoomScale="120" zoomScaleNormal="120" workbookViewId="0">
      <selection activeCell="A5" sqref="A5"/>
    </sheetView>
  </sheetViews>
  <sheetFormatPr baseColWidth="10" defaultRowHeight="15" x14ac:dyDescent="0.2"/>
  <cols>
    <col min="1" max="1" width="12.1640625" bestFit="1" customWidth="1"/>
    <col min="2" max="2" width="9.5" bestFit="1" customWidth="1"/>
    <col min="3" max="3" width="13.6640625" bestFit="1" customWidth="1"/>
    <col min="4" max="5" width="13.5" bestFit="1" customWidth="1"/>
    <col min="6" max="6" width="11.1640625" bestFit="1" customWidth="1"/>
    <col min="7" max="8" width="12.1640625" bestFit="1" customWidth="1"/>
  </cols>
  <sheetData>
    <row r="3" spans="1:4" x14ac:dyDescent="0.2">
      <c r="A3" s="9" t="s">
        <v>42</v>
      </c>
      <c r="B3" t="s">
        <v>46</v>
      </c>
      <c r="C3" t="s">
        <v>45</v>
      </c>
      <c r="D3" t="s">
        <v>44</v>
      </c>
    </row>
    <row r="4" spans="1:4" x14ac:dyDescent="0.2">
      <c r="A4" s="10" t="s">
        <v>7</v>
      </c>
      <c r="B4" s="11">
        <v>214</v>
      </c>
      <c r="C4" s="11">
        <v>1570.9499999999994</v>
      </c>
      <c r="D4" s="11">
        <v>0.16649073632892475</v>
      </c>
    </row>
    <row r="5" spans="1:4" x14ac:dyDescent="0.2">
      <c r="A5" s="10" t="s">
        <v>11</v>
      </c>
      <c r="B5" s="11">
        <v>413</v>
      </c>
      <c r="C5" s="11">
        <v>3256.82</v>
      </c>
      <c r="D5" s="11">
        <v>0.15765054700429751</v>
      </c>
    </row>
    <row r="6" spans="1:4" x14ac:dyDescent="0.2">
      <c r="A6" s="10" t="s">
        <v>43</v>
      </c>
      <c r="B6" s="11">
        <v>627</v>
      </c>
      <c r="C6" s="11">
        <v>4827.7700000000013</v>
      </c>
      <c r="D6" s="11">
        <v>0.16080258172250475</v>
      </c>
    </row>
  </sheetData>
  <sortState xmlns:xlrd2="http://schemas.microsoft.com/office/spreadsheetml/2017/richdata2" ref="A3:C8">
    <sortCondition ref="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AH245"/>
  <sheetViews>
    <sheetView tabSelected="1" topLeftCell="T1" zoomScale="125" workbookViewId="0">
      <selection activeCell="AE33" sqref="AE33"/>
    </sheetView>
  </sheetViews>
  <sheetFormatPr baseColWidth="10" defaultColWidth="13.5" defaultRowHeight="15" x14ac:dyDescent="0.2"/>
  <cols>
    <col min="12" max="12" width="15.83203125" customWidth="1"/>
    <col min="18" max="18" width="14.5" customWidth="1"/>
    <col min="19" max="19" width="18.1640625" customWidth="1"/>
    <col min="20" max="20" width="18.6640625" customWidth="1"/>
    <col min="23" max="23" width="12" bestFit="1" customWidth="1"/>
    <col min="24" max="24" width="11.33203125" bestFit="1" customWidth="1"/>
    <col min="25" max="25" width="13" bestFit="1" customWidth="1"/>
    <col min="26" max="26" width="13" customWidth="1"/>
    <col min="27" max="27" width="16.33203125" bestFit="1" customWidth="1"/>
    <col min="28" max="28" width="12.1640625" bestFit="1" customWidth="1"/>
    <col min="29" max="29" width="13" bestFit="1" customWidth="1"/>
    <col min="30" max="30" width="13.83203125" customWidth="1"/>
    <col min="31" max="31" width="13" bestFit="1" customWidth="1"/>
    <col min="32" max="32" width="12" customWidth="1"/>
    <col min="33" max="33" width="13.1640625" customWidth="1"/>
    <col min="34" max="34" width="37.6640625" customWidth="1"/>
    <col min="36" max="36" width="12.1640625" bestFit="1" customWidth="1"/>
    <col min="37" max="37" width="11.83203125" bestFit="1" customWidth="1"/>
    <col min="39" max="39" width="12.83203125" customWidth="1"/>
    <col min="40" max="40" width="10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  <c r="J1" s="21" t="s">
        <v>41</v>
      </c>
      <c r="K1" s="22" t="s">
        <v>40</v>
      </c>
      <c r="L1" s="22" t="s">
        <v>2</v>
      </c>
      <c r="M1" s="22" t="s">
        <v>39</v>
      </c>
      <c r="N1" s="22" t="s">
        <v>4</v>
      </c>
      <c r="O1" s="22" t="s">
        <v>5</v>
      </c>
      <c r="P1" s="22" t="s">
        <v>6</v>
      </c>
      <c r="Q1" s="22" t="s">
        <v>38</v>
      </c>
      <c r="R1" s="22" t="s">
        <v>57</v>
      </c>
      <c r="S1" s="22" t="s">
        <v>67</v>
      </c>
      <c r="T1" s="23" t="s">
        <v>68</v>
      </c>
      <c r="U1" s="46" t="s">
        <v>66</v>
      </c>
    </row>
    <row r="2" spans="1:34" x14ac:dyDescent="0.2">
      <c r="A2" t="s">
        <v>7</v>
      </c>
      <c r="B2" t="s">
        <v>22</v>
      </c>
      <c r="C2" t="s">
        <v>21</v>
      </c>
      <c r="D2" t="s">
        <v>10</v>
      </c>
      <c r="E2">
        <v>1</v>
      </c>
      <c r="F2">
        <v>3.07</v>
      </c>
      <c r="G2">
        <v>1</v>
      </c>
      <c r="H2" s="5">
        <f>G2/F2</f>
        <v>0.32573289902280134</v>
      </c>
      <c r="J2" s="16">
        <f>IF(A2="Male",0, 1)</f>
        <v>1</v>
      </c>
      <c r="K2" s="13">
        <f>IF(B2="No",0, 1)</f>
        <v>1</v>
      </c>
      <c r="L2" s="13">
        <f>IF(C2="Mon",1,IF(C2="Tues",2,IF(C2="Wed",3,IF(C2="Thur",4,IF(C2="Fri",5,IF(C2="Sat",6,7))))))</f>
        <v>6</v>
      </c>
      <c r="M2" s="13">
        <f>IF(D2="Lunch",0,1)</f>
        <v>1</v>
      </c>
      <c r="N2" s="13">
        <v>1</v>
      </c>
      <c r="O2" s="13">
        <v>3.07</v>
      </c>
      <c r="P2" s="13">
        <v>1</v>
      </c>
      <c r="Q2" s="15">
        <f>P2/O2</f>
        <v>0.32573289902280134</v>
      </c>
      <c r="R2" s="15">
        <f>AVERAGE(IF(A2="Female",GETPIVOTDATA("tip %",$W$26,"sex","Female"),GETPIVOTDATA("tip %",$W$26,"sex","Male")),IF(K2=0,GETPIVOTDATA("tip %",$AA$26,"smoker","No"),GETPIVOTDATA("tip %",$AA$26,"smoker","Yes")),IF(C2=$W$33,GETPIVOTDATA("tip %",$W$32,"day","Thur"),IF(C2=$W$34,GETPIVOTDATA("tip %",$W$32,"day","Fri"),IF(C2=$W$35,GETPIVOTDATA("tip %",$W$32,"day","Sat"),IF(C2=$W$36,GETPIVOTDATA("tip %",$W$32,"day","Sun"),GETPIVOTDATA("tip %",$W$32))))),IF(D2=$AE$27,GETPIVOTDATA("tip %",$AE$26,"time","Dinner"),GETPIVOTDATA("tip %",$AE$26,"time","Lunch")),IF(N2=$AA$33,GETPIVOTDATA("Average of tip %",$AA$32,"size",1),IF(N2=$AA$34,GETPIVOTDATA("Average of tip %",$AA$32,"size",2),IF(N2=$AA$35,GETPIVOTDATA("Average of tip %",$AA$32,"size",3),IF(N2=$AA$36,GETPIVOTDATA("Average of tip %",$AA$32,"size",4),IF(N2=$AA$37,GETPIVOTDATA("Average of tip %",$AA$32,"size",5),GETPIVOTDATA("Average of tip %",$AA$32,"size",6)))))))</f>
        <v>0.17192966032412729</v>
      </c>
      <c r="S2" s="14">
        <f>AVERAGE(IF(A2=$W$27,GETPIVOTDATA("Average of tip",$W$26,"sex","Female"),GETPIVOTDATA("Average of tip",$W$26,"sex","Male")),IF(B2=$AA$27,GETPIVOTDATA("Average of tip",$AA$26,"smoker","No"),GETPIVOTDATA("Average of tip",$AA$26,"smoker","Yes")),IF(C2=$W$33,GETPIVOTDATA("Average of tip",$W$32,"day","Thur"),IF(C2=$W$34,GETPIVOTDATA("Average of tip",$W$32,"day","Fri"),IF(C2=$W$35,GETPIVOTDATA("Average of tip",$W$32,"day","Sat"),GETPIVOTDATA("Average of tip",$W$32,"day","Sun")))),IF(D2=$AE$27,GETPIVOTDATA("Average of tip",$AE$26,"time","Dinner"),GETPIVOTDATA("Average of tip",$AE$26,"time","Lunch")),IF(E2=$AA$33,GETPIVOTDATA("Average of tip",$AA$32,"size",1),IF(E2=$AA$34,GETPIVOTDATA("Average of tip",$AA$32,"size",2),IF(E2=$AA$35,GETPIVOTDATA("Average of tip",$AA$32,"size",3),IF(E2=$AA$36,GETPIVOTDATA("Average of tip",$AA$32,"size",4),IF(E2=$AA$37,GETPIVOTDATA("Average of tip",$AA$32,"size",5),GETPIVOTDATA("Average of tip",$AA$32,"size",6)))))))</f>
        <v>2.6750863712205479</v>
      </c>
      <c r="T2" s="17">
        <f>R2*O2</f>
        <v>0.52782405719507075</v>
      </c>
      <c r="U2" s="12">
        <f>AVERAGE(S2,T2)</f>
        <v>1.6014552142078093</v>
      </c>
    </row>
    <row r="3" spans="1:34" x14ac:dyDescent="0.2">
      <c r="A3" t="s">
        <v>7</v>
      </c>
      <c r="B3" t="s">
        <v>8</v>
      </c>
      <c r="C3" t="s">
        <v>21</v>
      </c>
      <c r="D3" t="s">
        <v>10</v>
      </c>
      <c r="E3">
        <v>1</v>
      </c>
      <c r="F3">
        <v>7.25</v>
      </c>
      <c r="G3">
        <v>1</v>
      </c>
      <c r="H3" s="5">
        <f>G3/F3</f>
        <v>0.13793103448275862</v>
      </c>
      <c r="J3" s="16">
        <f>IF(A3="Male",0, 1)</f>
        <v>1</v>
      </c>
      <c r="K3" s="13">
        <f>IF(B3="No",0, 1)</f>
        <v>0</v>
      </c>
      <c r="L3" s="13">
        <f>IF(C3="Mon",1,IF(C3="Tues",2,IF(C3="Wed",3,IF(C3="Thur",4,IF(C3="Fri",5,IF(C3="Sat",6,7))))))</f>
        <v>6</v>
      </c>
      <c r="M3" s="13">
        <f>IF(D3="Lunch",0,1)</f>
        <v>1</v>
      </c>
      <c r="N3" s="13">
        <v>2</v>
      </c>
      <c r="O3" s="13">
        <v>5.75</v>
      </c>
      <c r="P3" s="13">
        <v>1</v>
      </c>
      <c r="Q3" s="15">
        <f>P3/O3</f>
        <v>0.17391304347826086</v>
      </c>
      <c r="R3" s="15">
        <f>AVERAGE(IF(A3="Female",GETPIVOTDATA("tip %",$W$26,"sex","Female"),GETPIVOTDATA("tip %",$W$26,"sex","Male")),IF(K3=0,GETPIVOTDATA("tip %",$AA$26,"smoker","No"),GETPIVOTDATA("tip %",$AA$26,"smoker","Yes")),IF(C3=$W$33,GETPIVOTDATA("tip %",$W$32,"day","Thur"),IF(C3=$W$34,GETPIVOTDATA("tip %",$W$32,"day","Fri"),IF(C3=$W$35,GETPIVOTDATA("tip %",$W$32,"day","Sat"),IF(C3=$W$36,GETPIVOTDATA("tip %",$W$32,"day","Sun"),GETPIVOTDATA("tip %",$W$32))))),IF(D3=$AE$27,GETPIVOTDATA("tip %",$AE$26,"time","Dinner"),GETPIVOTDATA("tip %",$AE$26,"time","Lunch")),IF(N3=$AA$33,GETPIVOTDATA("Average of tip %",$AA$32,"size",1),IF(N3=$AA$34,GETPIVOTDATA("Average of tip %",$AA$32,"size",2),IF(N3=$AA$35,GETPIVOTDATA("Average of tip %",$AA$32,"size",3),IF(N3=$AA$36,GETPIVOTDATA("Average of tip %",$AA$32,"size",4),IF(N3=$AA$37,GETPIVOTDATA("Average of tip %",$AA$32,"size",5),GETPIVOTDATA("Average of tip %",$AA$32,"size",6)))))))</f>
        <v>0.16084157908210489</v>
      </c>
      <c r="S3" s="14">
        <f t="shared" ref="S3:S66" si="0">AVERAGE(IF(A3=$W$27,GETPIVOTDATA("Average of tip",$W$26,"sex","Female"),GETPIVOTDATA("Average of tip",$W$26,"sex","Male")),IF(B3=$AA$27,GETPIVOTDATA("Average of tip",$AA$26,"smoker","No"),GETPIVOTDATA("Average of tip",$AA$26,"smoker","Yes")),IF(C3=$W$33,GETPIVOTDATA("Average of tip",$W$32,"day","Thur"),IF(C3=$W$34,GETPIVOTDATA("Average of tip",$W$32,"day","Fri"),IF(C3=$W$35,GETPIVOTDATA("Average of tip",$W$32,"day","Sat"),GETPIVOTDATA("Average of tip",$W$32,"day","Sun")))),IF(D3=$AE$27,GETPIVOTDATA("Average of tip",$AE$26,"time","Dinner"),GETPIVOTDATA("Average of tip",$AE$26,"time","Lunch")),IF(E3=$AA$33,GETPIVOTDATA("Average of tip",$AA$32,"size",1),IF(E3=$AA$34,GETPIVOTDATA("Average of tip",$AA$32,"size",2),IF(E3=$AA$35,GETPIVOTDATA("Average of tip",$AA$32,"size",3),IF(E3=$AA$36,GETPIVOTDATA("Average of tip",$AA$32,"size",4),IF(E3=$AA$37,GETPIVOTDATA("Average of tip",$AA$32,"size",5),GETPIVOTDATA("Average of tip",$AA$32,"size",6)))))))</f>
        <v>2.6717152966638293</v>
      </c>
      <c r="T3" s="17">
        <f t="shared" ref="T3:T66" si="1">R3*O3</f>
        <v>0.92483907972210311</v>
      </c>
      <c r="U3" s="12">
        <f t="shared" ref="U3:U66" si="2">AVERAGE(S3,T3)</f>
        <v>1.7982771881929662</v>
      </c>
      <c r="W3" s="3" t="s">
        <v>33</v>
      </c>
      <c r="X3" s="4"/>
      <c r="Y3" s="24"/>
      <c r="AG3" s="1" t="s">
        <v>12</v>
      </c>
      <c r="AH3" s="1" t="s">
        <v>13</v>
      </c>
    </row>
    <row r="4" spans="1:34" x14ac:dyDescent="0.2">
      <c r="A4" t="s">
        <v>7</v>
      </c>
      <c r="B4" t="s">
        <v>22</v>
      </c>
      <c r="C4" t="s">
        <v>25</v>
      </c>
      <c r="D4" t="s">
        <v>10</v>
      </c>
      <c r="E4">
        <v>2</v>
      </c>
      <c r="F4">
        <v>5.75</v>
      </c>
      <c r="G4">
        <v>1</v>
      </c>
      <c r="H4" s="5">
        <f>G4/F4</f>
        <v>0.17391304347826086</v>
      </c>
      <c r="J4" s="16">
        <f>IF(A4="Male",0, 1)</f>
        <v>1</v>
      </c>
      <c r="K4" s="13">
        <f>IF(B4="No",0, 1)</f>
        <v>1</v>
      </c>
      <c r="L4" s="13">
        <f>IF(C4="Mon",1,IF(C4="Tues",2,IF(C4="Wed",3,IF(C4="Thur",4,IF(C4="Fri",5,IF(C4="Sat",6,7))))))</f>
        <v>5</v>
      </c>
      <c r="M4" s="13">
        <f>IF(D4="Lunch",0,1)</f>
        <v>1</v>
      </c>
      <c r="N4" s="13">
        <v>2</v>
      </c>
      <c r="O4" s="13">
        <v>7.25</v>
      </c>
      <c r="P4" s="13">
        <v>5.15</v>
      </c>
      <c r="Q4" s="15">
        <f>P4/O4</f>
        <v>0.71034482758620698</v>
      </c>
      <c r="R4" s="15">
        <f>AVERAGE(IF(A4="Female",GETPIVOTDATA("tip %",$W$26,"sex","Female"),GETPIVOTDATA("tip %",$W$26,"sex","Male")),IF(K4=0,GETPIVOTDATA("tip %",$AA$26,"smoker","No"),GETPIVOTDATA("tip %",$AA$26,"smoker","Yes")),IF(C4=$W$33,GETPIVOTDATA("tip %",$W$32,"day","Thur"),IF(C4=$W$34,GETPIVOTDATA("tip %",$W$32,"day","Fri"),IF(C4=$W$35,GETPIVOTDATA("tip %",$W$32,"day","Sat"),IF(C4=$W$36,GETPIVOTDATA("tip %",$W$32,"day","Sun"),GETPIVOTDATA("tip %",$W$32))))),IF(D4=$AE$27,GETPIVOTDATA("tip %",$AE$26,"time","Dinner"),GETPIVOTDATA("tip %",$AE$26,"time","Lunch")),IF(N4=$AA$33,GETPIVOTDATA("Average of tip %",$AA$32,"size",1),IF(N4=$AA$34,GETPIVOTDATA("Average of tip %",$AA$32,"size",2),IF(N4=$AA$35,GETPIVOTDATA("Average of tip %",$AA$32,"size",3),IF(N4=$AA$36,GETPIVOTDATA("Average of tip %",$AA$32,"size",4),IF(N4=$AA$37,GETPIVOTDATA("Average of tip %",$AA$32,"size",5),GETPIVOTDATA("Average of tip %",$AA$32,"size",6)))))))</f>
        <v>0.16496735804277757</v>
      </c>
      <c r="S4" s="14">
        <f t="shared" si="0"/>
        <v>2.8523745884479665</v>
      </c>
      <c r="T4" s="17">
        <f t="shared" si="1"/>
        <v>1.1960133458101374</v>
      </c>
      <c r="U4" s="12">
        <f t="shared" si="2"/>
        <v>2.0241939671290519</v>
      </c>
      <c r="AG4" s="1" t="s">
        <v>1</v>
      </c>
      <c r="AH4" s="1" t="s">
        <v>14</v>
      </c>
    </row>
    <row r="5" spans="1:34" x14ac:dyDescent="0.2">
      <c r="A5" t="s">
        <v>11</v>
      </c>
      <c r="B5" t="s">
        <v>22</v>
      </c>
      <c r="C5" t="s">
        <v>21</v>
      </c>
      <c r="D5" t="s">
        <v>10</v>
      </c>
      <c r="E5">
        <v>2</v>
      </c>
      <c r="F5">
        <v>12.6</v>
      </c>
      <c r="G5">
        <v>1</v>
      </c>
      <c r="H5" s="5">
        <f>G5/F5</f>
        <v>7.9365079365079361E-2</v>
      </c>
      <c r="J5" s="16">
        <f>IF(A5="Male",0, 1)</f>
        <v>0</v>
      </c>
      <c r="K5" s="13">
        <f>IF(B5="No",0, 1)</f>
        <v>1</v>
      </c>
      <c r="L5" s="13">
        <f>IF(C5="Mon",1,IF(C5="Tues",2,IF(C5="Wed",3,IF(C5="Thur",4,IF(C5="Fri",5,IF(C5="Sat",6,7))))))</f>
        <v>6</v>
      </c>
      <c r="M5" s="13">
        <f>IF(D5="Lunch",0,1)</f>
        <v>1</v>
      </c>
      <c r="N5" s="13">
        <v>1</v>
      </c>
      <c r="O5" s="13">
        <v>7.25</v>
      </c>
      <c r="P5" s="13">
        <v>1</v>
      </c>
      <c r="Q5" s="15">
        <f>P5/O5</f>
        <v>0.13793103448275862</v>
      </c>
      <c r="R5" s="15">
        <f>AVERAGE(IF(A5="Female",GETPIVOTDATA("tip %",$W$26,"sex","Female"),GETPIVOTDATA("tip %",$W$26,"sex","Male")),IF(K5=0,GETPIVOTDATA("tip %",$AA$26,"smoker","No"),GETPIVOTDATA("tip %",$AA$26,"smoker","Yes")),IF(C5=$W$33,GETPIVOTDATA("tip %",$W$32,"day","Thur"),IF(C5=$W$34,GETPIVOTDATA("tip %",$W$32,"day","Fri"),IF(C5=$W$35,GETPIVOTDATA("tip %",$W$32,"day","Sat"),IF(C5=$W$36,GETPIVOTDATA("tip %",$W$32,"day","Sun"),GETPIVOTDATA("tip %",$W$32))))),IF(D5=$AE$27,GETPIVOTDATA("tip %",$AE$26,"time","Dinner"),GETPIVOTDATA("tip %",$AE$26,"time","Lunch")),IF(N5=$AA$33,GETPIVOTDATA("Average of tip %",$AA$32,"size",1),IF(N5=$AA$34,GETPIVOTDATA("Average of tip %",$AA$32,"size",2),IF(N5=$AA$35,GETPIVOTDATA("Average of tip %",$AA$32,"size",3),IF(N5=$AA$36,GETPIVOTDATA("Average of tip %",$AA$32,"size",4),IF(N5=$AA$37,GETPIVOTDATA("Average of tip %",$AA$32,"size",5),GETPIVOTDATA("Average of tip %",$AA$32,"size",6)))))))</f>
        <v>0.17016162245920183</v>
      </c>
      <c r="S5" s="14">
        <f t="shared" si="0"/>
        <v>2.9552818213886538</v>
      </c>
      <c r="T5" s="17">
        <f t="shared" si="1"/>
        <v>1.2336717628292133</v>
      </c>
      <c r="U5" s="12">
        <f t="shared" si="2"/>
        <v>2.0944767921089333</v>
      </c>
      <c r="V5">
        <v>1</v>
      </c>
      <c r="W5" s="2" t="s">
        <v>26</v>
      </c>
      <c r="AG5" s="1" t="s">
        <v>2</v>
      </c>
      <c r="AH5" s="1" t="s">
        <v>15</v>
      </c>
    </row>
    <row r="6" spans="1:34" x14ac:dyDescent="0.2">
      <c r="A6" t="s">
        <v>7</v>
      </c>
      <c r="B6" t="s">
        <v>8</v>
      </c>
      <c r="C6" t="s">
        <v>9</v>
      </c>
      <c r="D6" t="s">
        <v>10</v>
      </c>
      <c r="E6">
        <v>2</v>
      </c>
      <c r="F6">
        <v>16.989999999999998</v>
      </c>
      <c r="G6">
        <v>1.01</v>
      </c>
      <c r="H6" s="5">
        <f>G6/F6</f>
        <v>5.9446733372572107E-2</v>
      </c>
      <c r="J6" s="16">
        <f>IF(A6="Male",0, 1)</f>
        <v>1</v>
      </c>
      <c r="K6" s="13">
        <f>IF(B6="No",0, 1)</f>
        <v>0</v>
      </c>
      <c r="L6" s="13">
        <f>IF(C6="Mon",1,IF(C6="Tues",2,IF(C6="Wed",3,IF(C6="Thur",4,IF(C6="Fri",5,IF(C6="Sat",6,7))))))</f>
        <v>7</v>
      </c>
      <c r="M6" s="13">
        <f>IF(D6="Lunch",0,1)</f>
        <v>1</v>
      </c>
      <c r="N6" s="13">
        <v>2</v>
      </c>
      <c r="O6" s="13">
        <v>7.51</v>
      </c>
      <c r="P6" s="13">
        <v>2</v>
      </c>
      <c r="Q6" s="15">
        <f>P6/O6</f>
        <v>0.26631158455392812</v>
      </c>
      <c r="R6" s="15">
        <f>AVERAGE(IF(A6="Female",GETPIVOTDATA("tip %",$W$26,"sex","Female"),GETPIVOTDATA("tip %",$W$26,"sex","Male")),IF(K6=0,GETPIVOTDATA("tip %",$AA$26,"smoker","No"),GETPIVOTDATA("tip %",$AA$26,"smoker","Yes")),IF(C6=$W$33,GETPIVOTDATA("tip %",$W$32,"day","Thur"),IF(C6=$W$34,GETPIVOTDATA("tip %",$W$32,"day","Fri"),IF(C6=$W$35,GETPIVOTDATA("tip %",$W$32,"day","Sat"),IF(C6=$W$36,GETPIVOTDATA("tip %",$W$32,"day","Sun"),GETPIVOTDATA("tip %",$W$32))))),IF(D6=$AE$27,GETPIVOTDATA("tip %",$AE$26,"time","Dinner"),GETPIVOTDATA("tip %",$AE$26,"time","Lunch")),IF(N6=$AA$33,GETPIVOTDATA("Average of tip %",$AA$32,"size",1),IF(N6=$AA$34,GETPIVOTDATA("Average of tip %",$AA$32,"size",2),IF(N6=$AA$35,GETPIVOTDATA("Average of tip %",$AA$32,"size",3),IF(N6=$AA$36,GETPIVOTDATA("Average of tip %",$AA$32,"size",4),IF(N6=$AA$37,GETPIVOTDATA("Average of tip %",$AA$32,"size",5),GETPIVOTDATA("Average of tip %",$AA$32,"size",6)))))))</f>
        <v>0.16359069307477619</v>
      </c>
      <c r="S6" s="14">
        <f t="shared" si="0"/>
        <v>2.9530824612596698</v>
      </c>
      <c r="T6" s="17">
        <f t="shared" si="1"/>
        <v>1.2285661049915693</v>
      </c>
      <c r="U6" s="12">
        <f t="shared" si="2"/>
        <v>2.0908242831256194</v>
      </c>
      <c r="W6" t="s">
        <v>34</v>
      </c>
      <c r="AG6" s="1" t="s">
        <v>3</v>
      </c>
      <c r="AH6" s="1" t="s">
        <v>16</v>
      </c>
    </row>
    <row r="7" spans="1:34" x14ac:dyDescent="0.2">
      <c r="A7" t="s">
        <v>7</v>
      </c>
      <c r="B7" t="s">
        <v>22</v>
      </c>
      <c r="C7" t="s">
        <v>21</v>
      </c>
      <c r="D7" t="s">
        <v>10</v>
      </c>
      <c r="E7">
        <v>2</v>
      </c>
      <c r="F7">
        <v>12.9</v>
      </c>
      <c r="G7">
        <v>1.1000000000000001</v>
      </c>
      <c r="H7" s="5">
        <f>G7/F7</f>
        <v>8.5271317829457363E-2</v>
      </c>
      <c r="J7" s="16">
        <f>IF(A7="Male",0, 1)</f>
        <v>1</v>
      </c>
      <c r="K7" s="13">
        <f>IF(B7="No",0, 1)</f>
        <v>1</v>
      </c>
      <c r="L7" s="13">
        <f>IF(C7="Mon",1,IF(C7="Tues",2,IF(C7="Wed",3,IF(C7="Thur",4,IF(C7="Fri",5,IF(C7="Sat",6,7))))))</f>
        <v>6</v>
      </c>
      <c r="M7" s="13">
        <f>IF(D7="Lunch",0,1)</f>
        <v>1</v>
      </c>
      <c r="N7" s="13">
        <v>2</v>
      </c>
      <c r="O7" s="13">
        <v>7.56</v>
      </c>
      <c r="P7" s="13">
        <v>1.44</v>
      </c>
      <c r="Q7" s="15">
        <f>P7/O7</f>
        <v>0.19047619047619047</v>
      </c>
      <c r="R7" s="15">
        <f>AVERAGE(IF(A7="Female",GETPIVOTDATA("tip %",$W$26,"sex","Female"),GETPIVOTDATA("tip %",$W$26,"sex","Male")),IF(K7=0,GETPIVOTDATA("tip %",$AA$26,"smoker","No"),GETPIVOTDATA("tip %",$AA$26,"smoker","Yes")),IF(C7=$W$33,GETPIVOTDATA("tip %",$W$32,"day","Thur"),IF(C7=$W$34,GETPIVOTDATA("tip %",$W$32,"day","Fri"),IF(C7=$W$35,GETPIVOTDATA("tip %",$W$32,"day","Sat"),IF(C7=$W$36,GETPIVOTDATA("tip %",$W$32,"day","Sun"),GETPIVOTDATA("tip %",$W$32))))),IF(D7=$AE$27,GETPIVOTDATA("tip %",$AE$26,"time","Dinner"),GETPIVOTDATA("tip %",$AE$26,"time","Lunch")),IF(N7=$AA$33,GETPIVOTDATA("Average of tip %",$AA$32,"size",1),IF(N7=$AA$34,GETPIVOTDATA("Average of tip %",$AA$32,"size",2),IF(N7=$AA$35,GETPIVOTDATA("Average of tip %",$AA$32,"size",3),IF(N7=$AA$36,GETPIVOTDATA("Average of tip %",$AA$32,"size",4),IF(N7=$AA$37,GETPIVOTDATA("Average of tip %",$AA$32,"size",5),GETPIVOTDATA("Average of tip %",$AA$32,"size",6)))))))</f>
        <v>0.16161509557363743</v>
      </c>
      <c r="S7" s="14">
        <f t="shared" si="0"/>
        <v>2.9040479096820868</v>
      </c>
      <c r="T7" s="17">
        <f t="shared" si="1"/>
        <v>1.2218101225366989</v>
      </c>
      <c r="U7" s="12">
        <f t="shared" si="2"/>
        <v>2.0629290161093929</v>
      </c>
      <c r="V7">
        <v>2</v>
      </c>
      <c r="W7" s="2" t="s">
        <v>27</v>
      </c>
      <c r="AG7" s="1" t="s">
        <v>4</v>
      </c>
      <c r="AH7" s="1" t="s">
        <v>17</v>
      </c>
    </row>
    <row r="8" spans="1:34" x14ac:dyDescent="0.2">
      <c r="A8" t="s">
        <v>11</v>
      </c>
      <c r="B8" t="s">
        <v>22</v>
      </c>
      <c r="C8" t="s">
        <v>21</v>
      </c>
      <c r="D8" t="s">
        <v>10</v>
      </c>
      <c r="E8">
        <v>2</v>
      </c>
      <c r="F8">
        <v>32.83</v>
      </c>
      <c r="G8">
        <v>1.17</v>
      </c>
      <c r="H8" s="5">
        <f>G8/F8</f>
        <v>3.5638135851355467E-2</v>
      </c>
      <c r="J8" s="16">
        <f>IF(A8="Male",0, 1)</f>
        <v>0</v>
      </c>
      <c r="K8" s="13">
        <f>IF(B8="No",0, 1)</f>
        <v>1</v>
      </c>
      <c r="L8" s="13">
        <f>IF(C8="Mon",1,IF(C8="Tues",2,IF(C8="Wed",3,IF(C8="Thur",4,IF(C8="Fri",5,IF(C8="Sat",6,7))))))</f>
        <v>6</v>
      </c>
      <c r="M8" s="13">
        <f>IF(D8="Lunch",0,1)</f>
        <v>1</v>
      </c>
      <c r="N8" s="13">
        <v>2</v>
      </c>
      <c r="O8" s="13">
        <v>7.74</v>
      </c>
      <c r="P8" s="13">
        <v>1.44</v>
      </c>
      <c r="Q8" s="15">
        <f>P8/O8</f>
        <v>0.18604651162790697</v>
      </c>
      <c r="R8" s="15">
        <f>AVERAGE(IF(A8="Female",GETPIVOTDATA("tip %",$W$26,"sex","Female"),GETPIVOTDATA("tip %",$W$26,"sex","Male")),IF(K8=0,GETPIVOTDATA("tip %",$AA$26,"smoker","No"),GETPIVOTDATA("tip %",$AA$26,"smoker","Yes")),IF(C8=$W$33,GETPIVOTDATA("tip %",$W$32,"day","Thur"),IF(C8=$W$34,GETPIVOTDATA("tip %",$W$32,"day","Fri"),IF(C8=$W$35,GETPIVOTDATA("tip %",$W$32,"day","Sat"),IF(C8=$W$36,GETPIVOTDATA("tip %",$W$32,"day","Sun"),GETPIVOTDATA("tip %",$W$32))))),IF(D8=$AE$27,GETPIVOTDATA("tip %",$AE$26,"time","Dinner"),GETPIVOTDATA("tip %",$AE$26,"time","Lunch")),IF(N8=$AA$33,GETPIVOTDATA("Average of tip %",$AA$32,"size",1),IF(N8=$AA$34,GETPIVOTDATA("Average of tip %",$AA$32,"size",2),IF(N8=$AA$35,GETPIVOTDATA("Average of tip %",$AA$32,"size",3),IF(N8=$AA$36,GETPIVOTDATA("Average of tip %",$AA$32,"size",4),IF(N8=$AA$37,GETPIVOTDATA("Average of tip %",$AA$32,"size",5),GETPIVOTDATA("Average of tip %",$AA$32,"size",6)))))))</f>
        <v>0.15984705770871196</v>
      </c>
      <c r="S8" s="14">
        <f t="shared" si="0"/>
        <v>2.9552818213886538</v>
      </c>
      <c r="T8" s="17">
        <f t="shared" si="1"/>
        <v>1.2372162266654307</v>
      </c>
      <c r="U8" s="12">
        <f t="shared" si="2"/>
        <v>2.0962490240270424</v>
      </c>
      <c r="W8" t="s">
        <v>35</v>
      </c>
      <c r="AG8" s="1" t="s">
        <v>18</v>
      </c>
      <c r="AH8" s="1" t="s">
        <v>19</v>
      </c>
    </row>
    <row r="9" spans="1:34" x14ac:dyDescent="0.2">
      <c r="A9" t="s">
        <v>11</v>
      </c>
      <c r="B9" t="s">
        <v>8</v>
      </c>
      <c r="C9" t="s">
        <v>21</v>
      </c>
      <c r="D9" t="s">
        <v>10</v>
      </c>
      <c r="E9">
        <v>2</v>
      </c>
      <c r="F9">
        <v>10.51</v>
      </c>
      <c r="G9">
        <v>1.25</v>
      </c>
      <c r="H9" s="5">
        <f>G9/F9</f>
        <v>0.11893434823977164</v>
      </c>
      <c r="J9" s="16">
        <f>IF(A9="Male",0, 1)</f>
        <v>0</v>
      </c>
      <c r="K9" s="13">
        <f>IF(B9="No",0, 1)</f>
        <v>0</v>
      </c>
      <c r="L9" s="13">
        <f>IF(C9="Mon",1,IF(C9="Tues",2,IF(C9="Wed",3,IF(C9="Thur",4,IF(C9="Fri",5,IF(C9="Sat",6,7))))))</f>
        <v>6</v>
      </c>
      <c r="M9" s="13">
        <f>IF(D9="Lunch",0,1)</f>
        <v>1</v>
      </c>
      <c r="N9" s="13">
        <v>2</v>
      </c>
      <c r="O9" s="13">
        <v>8.35</v>
      </c>
      <c r="P9" s="13">
        <v>1.5</v>
      </c>
      <c r="Q9" s="15">
        <f>P9/O9</f>
        <v>0.17964071856287425</v>
      </c>
      <c r="R9" s="15">
        <f>AVERAGE(IF(A9="Female",GETPIVOTDATA("tip %",$W$26,"sex","Female"),GETPIVOTDATA("tip %",$W$26,"sex","Male")),IF(K9=0,GETPIVOTDATA("tip %",$AA$26,"smoker","No"),GETPIVOTDATA("tip %",$AA$26,"smoker","Yes")),IF(C9=$W$33,GETPIVOTDATA("tip %",$W$32,"day","Thur"),IF(C9=$W$34,GETPIVOTDATA("tip %",$W$32,"day","Fri"),IF(C9=$W$35,GETPIVOTDATA("tip %",$W$32,"day","Sat"),IF(C9=$W$36,GETPIVOTDATA("tip %",$W$32,"day","Sun"),GETPIVOTDATA("tip %",$W$32))))),IF(D9=$AE$27,GETPIVOTDATA("tip %",$AE$26,"time","Dinner"),GETPIVOTDATA("tip %",$AE$26,"time","Lunch")),IF(N9=$AA$33,GETPIVOTDATA("Average of tip %",$AA$32,"size",1),IF(N9=$AA$34,GETPIVOTDATA("Average of tip %",$AA$32,"size",2),IF(N9=$AA$35,GETPIVOTDATA("Average of tip %",$AA$32,"size",3),IF(N9=$AA$36,GETPIVOTDATA("Average of tip %",$AA$32,"size",4),IF(N9=$AA$37,GETPIVOTDATA("Average of tip %",$AA$32,"size",5),GETPIVOTDATA("Average of tip %",$AA$32,"size",6)))))))</f>
        <v>0.15907354121717945</v>
      </c>
      <c r="S9" s="14">
        <f t="shared" si="0"/>
        <v>2.9519107468319357</v>
      </c>
      <c r="T9" s="17">
        <f t="shared" si="1"/>
        <v>1.3282640691634484</v>
      </c>
      <c r="U9" s="12">
        <f t="shared" si="2"/>
        <v>2.1400874079976919</v>
      </c>
      <c r="W9" t="s">
        <v>36</v>
      </c>
      <c r="AG9" s="1" t="s">
        <v>6</v>
      </c>
      <c r="AH9" s="1" t="s">
        <v>20</v>
      </c>
    </row>
    <row r="10" spans="1:34" x14ac:dyDescent="0.2">
      <c r="A10" t="s">
        <v>7</v>
      </c>
      <c r="B10" t="s">
        <v>8</v>
      </c>
      <c r="C10" t="s">
        <v>23</v>
      </c>
      <c r="D10" t="s">
        <v>24</v>
      </c>
      <c r="E10">
        <v>2</v>
      </c>
      <c r="F10">
        <v>8.51</v>
      </c>
      <c r="G10">
        <v>1.25</v>
      </c>
      <c r="H10" s="5">
        <f>G10/F10</f>
        <v>0.14688601645123384</v>
      </c>
      <c r="J10" s="16">
        <f>IF(A10="Male",0, 1)</f>
        <v>1</v>
      </c>
      <c r="K10" s="13">
        <f>IF(B10="No",0, 1)</f>
        <v>0</v>
      </c>
      <c r="L10" s="13">
        <f>IF(C10="Mon",1,IF(C10="Tues",2,IF(C10="Wed",3,IF(C10="Thur",4,IF(C10="Fri",5,IF(C10="Sat",6,7))))))</f>
        <v>4</v>
      </c>
      <c r="M10" s="13">
        <f>IF(D10="Lunch",0,1)</f>
        <v>0</v>
      </c>
      <c r="N10" s="13">
        <v>2</v>
      </c>
      <c r="O10" s="13">
        <v>8.51</v>
      </c>
      <c r="P10" s="13">
        <v>1.25</v>
      </c>
      <c r="Q10" s="15">
        <f>P10/O10</f>
        <v>0.14688601645123384</v>
      </c>
      <c r="R10" s="15">
        <f>AVERAGE(IF(A10="Female",GETPIVOTDATA("tip %",$W$26,"sex","Female"),GETPIVOTDATA("tip %",$W$26,"sex","Male")),IF(K10=0,GETPIVOTDATA("tip %",$AA$26,"smoker","No"),GETPIVOTDATA("tip %",$AA$26,"smoker","Yes")),IF(C10=$W$33,GETPIVOTDATA("tip %",$W$32,"day","Thur"),IF(C10=$W$34,GETPIVOTDATA("tip %",$W$32,"day","Fri"),IF(C10=$W$35,GETPIVOTDATA("tip %",$W$32,"day","Sat"),IF(C10=$W$36,GETPIVOTDATA("tip %",$W$32,"day","Sun"),GETPIVOTDATA("tip %",$W$32))))),IF(D10=$AE$27,GETPIVOTDATA("tip %",$AE$26,"time","Dinner"),GETPIVOTDATA("tip %",$AE$26,"time","Lunch")),IF(N10=$AA$33,GETPIVOTDATA("Average of tip %",$AA$32,"size",1),IF(N10=$AA$34,GETPIVOTDATA("Average of tip %",$AA$32,"size",2),IF(N10=$AA$35,GETPIVOTDATA("Average of tip %",$AA$32,"size",3),IF(N10=$AA$36,GETPIVOTDATA("Average of tip %",$AA$32,"size",4),IF(N10=$AA$37,GETPIVOTDATA("Average of tip %",$AA$32,"size",5),GETPIVOTDATA("Average of tip %",$AA$32,"size",6)))))))</f>
        <v>0.16338839047442422</v>
      </c>
      <c r="S10" s="14">
        <f t="shared" si="0"/>
        <v>2.7814300242005734</v>
      </c>
      <c r="T10" s="17">
        <f t="shared" si="1"/>
        <v>1.3904352029373501</v>
      </c>
      <c r="U10" s="12">
        <f t="shared" si="2"/>
        <v>2.0859326135689615</v>
      </c>
      <c r="V10">
        <v>3</v>
      </c>
      <c r="W10" s="2" t="s">
        <v>28</v>
      </c>
    </row>
    <row r="11" spans="1:34" x14ac:dyDescent="0.2">
      <c r="A11" t="s">
        <v>11</v>
      </c>
      <c r="B11" t="s">
        <v>8</v>
      </c>
      <c r="C11" t="s">
        <v>21</v>
      </c>
      <c r="D11" t="s">
        <v>10</v>
      </c>
      <c r="E11">
        <v>2</v>
      </c>
      <c r="F11">
        <v>10.07</v>
      </c>
      <c r="G11">
        <v>1.25</v>
      </c>
      <c r="H11" s="5">
        <f>G11/F11</f>
        <v>0.12413108242303872</v>
      </c>
      <c r="J11" s="16">
        <f>IF(A11="Male",0, 1)</f>
        <v>0</v>
      </c>
      <c r="K11" s="13">
        <f>IF(B11="No",0, 1)</f>
        <v>0</v>
      </c>
      <c r="L11" s="13">
        <f>IF(C11="Mon",1,IF(C11="Tues",2,IF(C11="Wed",3,IF(C11="Thur",4,IF(C11="Fri",5,IF(C11="Sat",6,7))))))</f>
        <v>6</v>
      </c>
      <c r="M11" s="13">
        <f>IF(D11="Lunch",0,1)</f>
        <v>1</v>
      </c>
      <c r="N11" s="13">
        <v>2</v>
      </c>
      <c r="O11" s="13">
        <v>8.52</v>
      </c>
      <c r="P11" s="13">
        <v>1.48</v>
      </c>
      <c r="Q11" s="15">
        <f>P11/O11</f>
        <v>0.17370892018779344</v>
      </c>
      <c r="R11" s="15">
        <f>AVERAGE(IF(A11="Female",GETPIVOTDATA("tip %",$W$26,"sex","Female"),GETPIVOTDATA("tip %",$W$26,"sex","Male")),IF(K11=0,GETPIVOTDATA("tip %",$AA$26,"smoker","No"),GETPIVOTDATA("tip %",$AA$26,"smoker","Yes")),IF(C11=$W$33,GETPIVOTDATA("tip %",$W$32,"day","Thur"),IF(C11=$W$34,GETPIVOTDATA("tip %",$W$32,"day","Fri"),IF(C11=$W$35,GETPIVOTDATA("tip %",$W$32,"day","Sat"),IF(C11=$W$36,GETPIVOTDATA("tip %",$W$32,"day","Sun"),GETPIVOTDATA("tip %",$W$32))))),IF(D11=$AE$27,GETPIVOTDATA("tip %",$AE$26,"time","Dinner"),GETPIVOTDATA("tip %",$AE$26,"time","Lunch")),IF(N11=$AA$33,GETPIVOTDATA("Average of tip %",$AA$32,"size",1),IF(N11=$AA$34,GETPIVOTDATA("Average of tip %",$AA$32,"size",2),IF(N11=$AA$35,GETPIVOTDATA("Average of tip %",$AA$32,"size",3),IF(N11=$AA$36,GETPIVOTDATA("Average of tip %",$AA$32,"size",4),IF(N11=$AA$37,GETPIVOTDATA("Average of tip %",$AA$32,"size",5),GETPIVOTDATA("Average of tip %",$AA$32,"size",6)))))))</f>
        <v>0.15907354121717945</v>
      </c>
      <c r="S11" s="14">
        <f t="shared" si="0"/>
        <v>2.9519107468319357</v>
      </c>
      <c r="T11" s="17">
        <f t="shared" si="1"/>
        <v>1.3553065711703689</v>
      </c>
      <c r="U11" s="12">
        <f t="shared" si="2"/>
        <v>2.1536086590011525</v>
      </c>
      <c r="W11" t="s">
        <v>37</v>
      </c>
    </row>
    <row r="12" spans="1:34" x14ac:dyDescent="0.2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9.68</v>
      </c>
      <c r="G12">
        <v>1.32</v>
      </c>
      <c r="H12" s="5">
        <f>G12/F12</f>
        <v>0.13636363636363638</v>
      </c>
      <c r="J12" s="16">
        <f>IF(A12="Male",0, 1)</f>
        <v>0</v>
      </c>
      <c r="K12" s="13">
        <f>IF(B12="No",0, 1)</f>
        <v>0</v>
      </c>
      <c r="L12" s="13">
        <f>IF(C12="Mon",1,IF(C12="Tues",2,IF(C12="Wed",3,IF(C12="Thur",4,IF(C12="Fri",5,IF(C12="Sat",6,7))))))</f>
        <v>7</v>
      </c>
      <c r="M12" s="13">
        <f>IF(D12="Lunch",0,1)</f>
        <v>1</v>
      </c>
      <c r="N12" s="13">
        <v>1</v>
      </c>
      <c r="O12" s="13">
        <v>8.58</v>
      </c>
      <c r="P12" s="13">
        <v>1.92</v>
      </c>
      <c r="Q12" s="15">
        <f>P12/O12</f>
        <v>0.22377622377622378</v>
      </c>
      <c r="R12" s="15">
        <f>AVERAGE(IF(A12="Female",GETPIVOTDATA("tip %",$W$26,"sex","Female"),GETPIVOTDATA("tip %",$W$26,"sex","Male")),IF(K12=0,GETPIVOTDATA("tip %",$AA$26,"smoker","No"),GETPIVOTDATA("tip %",$AA$26,"smoker","Yes")),IF(C12=$W$33,GETPIVOTDATA("tip %",$W$32,"day","Thur"),IF(C12=$W$34,GETPIVOTDATA("tip %",$W$32,"day","Fri"),IF(C12=$W$35,GETPIVOTDATA("tip %",$W$32,"day","Sat"),IF(C12=$W$36,GETPIVOTDATA("tip %",$W$32,"day","Sun"),GETPIVOTDATA("tip %",$W$32))))),IF(D12=$AE$27,GETPIVOTDATA("tip %",$AE$26,"time","Dinner"),GETPIVOTDATA("tip %",$AE$26,"time","Lunch")),IF(N12=$AA$33,GETPIVOTDATA("Average of tip %",$AA$32,"size",1),IF(N12=$AA$34,GETPIVOTDATA("Average of tip %",$AA$32,"size",2),IF(N12=$AA$35,GETPIVOTDATA("Average of tip %",$AA$32,"size",3),IF(N12=$AA$36,GETPIVOTDATA("Average of tip %",$AA$32,"size",4),IF(N12=$AA$37,GETPIVOTDATA("Average of tip %",$AA$32,"size",5),GETPIVOTDATA("Average of tip %",$AA$32,"size",6)))))))</f>
        <v>0.17213721996034059</v>
      </c>
      <c r="S12" s="14">
        <f t="shared" si="0"/>
        <v>3.0043163729662368</v>
      </c>
      <c r="T12" s="17">
        <f t="shared" si="1"/>
        <v>1.4769373472597223</v>
      </c>
      <c r="U12" s="12">
        <f t="shared" si="2"/>
        <v>2.2406268601129797</v>
      </c>
      <c r="V12">
        <v>4</v>
      </c>
      <c r="W12" s="2" t="s">
        <v>29</v>
      </c>
    </row>
    <row r="13" spans="1:34" x14ac:dyDescent="0.2">
      <c r="A13" t="s">
        <v>7</v>
      </c>
      <c r="B13" t="s">
        <v>8</v>
      </c>
      <c r="C13" t="s">
        <v>23</v>
      </c>
      <c r="D13" t="s">
        <v>24</v>
      </c>
      <c r="E13">
        <v>3</v>
      </c>
      <c r="F13">
        <v>18.64</v>
      </c>
      <c r="G13">
        <v>1.36</v>
      </c>
      <c r="H13" s="5">
        <f>G13/F13</f>
        <v>7.2961373390557943E-2</v>
      </c>
      <c r="J13" s="16">
        <f>IF(A13="Male",0, 1)</f>
        <v>1</v>
      </c>
      <c r="K13" s="13">
        <f>IF(B13="No",0, 1)</f>
        <v>0</v>
      </c>
      <c r="L13" s="13">
        <f>IF(C13="Mon",1,IF(C13="Tues",2,IF(C13="Wed",3,IF(C13="Thur",4,IF(C13="Fri",5,IF(C13="Sat",6,7))))))</f>
        <v>4</v>
      </c>
      <c r="M13" s="13">
        <f>IF(D13="Lunch",0,1)</f>
        <v>0</v>
      </c>
      <c r="N13" s="13">
        <v>2</v>
      </c>
      <c r="O13" s="13">
        <v>8.77</v>
      </c>
      <c r="P13" s="13">
        <v>2</v>
      </c>
      <c r="Q13" s="15">
        <f>P13/O13</f>
        <v>0.22805017103762829</v>
      </c>
      <c r="R13" s="15">
        <f>AVERAGE(IF(A13="Female",GETPIVOTDATA("tip %",$W$26,"sex","Female"),GETPIVOTDATA("tip %",$W$26,"sex","Male")),IF(K13=0,GETPIVOTDATA("tip %",$AA$26,"smoker","No"),GETPIVOTDATA("tip %",$AA$26,"smoker","Yes")),IF(C13=$W$33,GETPIVOTDATA("tip %",$W$32,"day","Thur"),IF(C13=$W$34,GETPIVOTDATA("tip %",$W$32,"day","Fri"),IF(C13=$W$35,GETPIVOTDATA("tip %",$W$32,"day","Sat"),IF(C13=$W$36,GETPIVOTDATA("tip %",$W$32,"day","Sun"),GETPIVOTDATA("tip %",$W$32))))),IF(D13=$AE$27,GETPIVOTDATA("tip %",$AE$26,"time","Dinner"),GETPIVOTDATA("tip %",$AE$26,"time","Lunch")),IF(N13=$AA$33,GETPIVOTDATA("Average of tip %",$AA$32,"size",1),IF(N13=$AA$34,GETPIVOTDATA("Average of tip %",$AA$32,"size",2),IF(N13=$AA$35,GETPIVOTDATA("Average of tip %",$AA$32,"size",3),IF(N13=$AA$36,GETPIVOTDATA("Average of tip %",$AA$32,"size",4),IF(N13=$AA$37,GETPIVOTDATA("Average of tip %",$AA$32,"size",5),GETPIVOTDATA("Average of tip %",$AA$32,"size",6)))))))</f>
        <v>0.16338839047442422</v>
      </c>
      <c r="S13" s="14">
        <f t="shared" si="0"/>
        <v>2.9436000646864029</v>
      </c>
      <c r="T13" s="17">
        <f t="shared" si="1"/>
        <v>1.4329161844607003</v>
      </c>
      <c r="U13" s="12">
        <f t="shared" si="2"/>
        <v>2.1882581245735517</v>
      </c>
      <c r="W13" s="7" t="s">
        <v>59</v>
      </c>
    </row>
    <row r="14" spans="1:34" x14ac:dyDescent="0.2">
      <c r="A14" t="s">
        <v>11</v>
      </c>
      <c r="B14" t="s">
        <v>8</v>
      </c>
      <c r="C14" t="s">
        <v>23</v>
      </c>
      <c r="D14" t="s">
        <v>24</v>
      </c>
      <c r="E14">
        <v>2</v>
      </c>
      <c r="F14">
        <v>7.56</v>
      </c>
      <c r="G14">
        <v>1.44</v>
      </c>
      <c r="H14" s="5">
        <f>G14/F14</f>
        <v>0.19047619047619047</v>
      </c>
      <c r="J14" s="16">
        <f>IF(A14="Male",0, 1)</f>
        <v>0</v>
      </c>
      <c r="K14" s="13">
        <f>IF(B14="No",0, 1)</f>
        <v>0</v>
      </c>
      <c r="L14" s="13">
        <f>IF(C14="Mon",1,IF(C14="Tues",2,IF(C14="Wed",3,IF(C14="Thur",4,IF(C14="Fri",5,IF(C14="Sat",6,7))))))</f>
        <v>4</v>
      </c>
      <c r="M14" s="13">
        <f>IF(D14="Lunch",0,1)</f>
        <v>0</v>
      </c>
      <c r="N14" s="13">
        <v>2</v>
      </c>
      <c r="O14" s="13">
        <v>9.5500000000000007</v>
      </c>
      <c r="P14" s="13">
        <v>1.45</v>
      </c>
      <c r="Q14" s="15">
        <f>P14/O14</f>
        <v>0.15183246073298429</v>
      </c>
      <c r="R14" s="15">
        <f>AVERAGE(IF(A14="Female",GETPIVOTDATA("tip %",$W$26,"sex","Female"),GETPIVOTDATA("tip %",$W$26,"sex","Male")),IF(K14=0,GETPIVOTDATA("tip %",$AA$26,"smoker","No"),GETPIVOTDATA("tip %",$AA$26,"smoker","Yes")),IF(C14=$W$33,GETPIVOTDATA("tip %",$W$32,"day","Thur"),IF(C14=$W$34,GETPIVOTDATA("tip %",$W$32,"day","Fri"),IF(C14=$W$35,GETPIVOTDATA("tip %",$W$32,"day","Sat"),IF(C14=$W$36,GETPIVOTDATA("tip %",$W$32,"day","Sun"),GETPIVOTDATA("tip %",$W$32))))),IF(D14=$AE$27,GETPIVOTDATA("tip %",$AE$26,"time","Dinner"),GETPIVOTDATA("tip %",$AE$26,"time","Lunch")),IF(N14=$AA$33,GETPIVOTDATA("Average of tip %",$AA$32,"size",1),IF(N14=$AA$34,GETPIVOTDATA("Average of tip %",$AA$32,"size",2),IF(N14=$AA$35,GETPIVOTDATA("Average of tip %",$AA$32,"size",3),IF(N14=$AA$36,GETPIVOTDATA("Average of tip %",$AA$32,"size",4),IF(N14=$AA$37,GETPIVOTDATA("Average of tip %",$AA$32,"size",5),GETPIVOTDATA("Average of tip %",$AA$32,"size",6)))))))</f>
        <v>0.16162035260949875</v>
      </c>
      <c r="S14" s="14">
        <f t="shared" si="0"/>
        <v>2.8326639359071408</v>
      </c>
      <c r="T14" s="17">
        <f t="shared" si="1"/>
        <v>1.5434743674207132</v>
      </c>
      <c r="U14" s="12">
        <f t="shared" si="2"/>
        <v>2.1880691516639272</v>
      </c>
      <c r="W14" t="s">
        <v>41</v>
      </c>
      <c r="X14">
        <f>CORREL(J2:J245,$P$2:$P$245)</f>
        <v>-0.15157256580638054</v>
      </c>
      <c r="Y14">
        <f>CORREL(J$2:J$245,$Q$2:$Q$245)</f>
        <v>-3.3804800330597878E-2</v>
      </c>
    </row>
    <row r="15" spans="1:34" x14ac:dyDescent="0.2">
      <c r="A15" t="s">
        <v>11</v>
      </c>
      <c r="B15" t="s">
        <v>22</v>
      </c>
      <c r="C15" t="s">
        <v>21</v>
      </c>
      <c r="D15" t="s">
        <v>10</v>
      </c>
      <c r="E15">
        <v>2</v>
      </c>
      <c r="F15">
        <v>7.74</v>
      </c>
      <c r="G15">
        <v>1.44</v>
      </c>
      <c r="H15" s="5">
        <f>G15/F15</f>
        <v>0.18604651162790697</v>
      </c>
      <c r="J15" s="16">
        <f>IF(A15="Male",0, 1)</f>
        <v>0</v>
      </c>
      <c r="K15" s="13">
        <f>IF(B15="No",0, 1)</f>
        <v>1</v>
      </c>
      <c r="L15" s="13">
        <f>IF(C15="Mon",1,IF(C15="Tues",2,IF(C15="Wed",3,IF(C15="Thur",4,IF(C15="Fri",5,IF(C15="Sat",6,7))))))</f>
        <v>6</v>
      </c>
      <c r="M15" s="13">
        <f>IF(D15="Lunch",0,1)</f>
        <v>1</v>
      </c>
      <c r="N15" s="13">
        <v>2</v>
      </c>
      <c r="O15" s="13">
        <v>9.6</v>
      </c>
      <c r="P15" s="13">
        <v>4</v>
      </c>
      <c r="Q15" s="15">
        <f>P15/O15</f>
        <v>0.41666666666666669</v>
      </c>
      <c r="R15" s="15">
        <f>AVERAGE(IF(A15="Female",GETPIVOTDATA("tip %",$W$26,"sex","Female"),GETPIVOTDATA("tip %",$W$26,"sex","Male")),IF(K15=0,GETPIVOTDATA("tip %",$AA$26,"smoker","No"),GETPIVOTDATA("tip %",$AA$26,"smoker","Yes")),IF(C15=$W$33,GETPIVOTDATA("tip %",$W$32,"day","Thur"),IF(C15=$W$34,GETPIVOTDATA("tip %",$W$32,"day","Fri"),IF(C15=$W$35,GETPIVOTDATA("tip %",$W$32,"day","Sat"),IF(C15=$W$36,GETPIVOTDATA("tip %",$W$32,"day","Sun"),GETPIVOTDATA("tip %",$W$32))))),IF(D15=$AE$27,GETPIVOTDATA("tip %",$AE$26,"time","Dinner"),GETPIVOTDATA("tip %",$AE$26,"time","Lunch")),IF(N15=$AA$33,GETPIVOTDATA("Average of tip %",$AA$32,"size",1),IF(N15=$AA$34,GETPIVOTDATA("Average of tip %",$AA$32,"size",2),IF(N15=$AA$35,GETPIVOTDATA("Average of tip %",$AA$32,"size",3),IF(N15=$AA$36,GETPIVOTDATA("Average of tip %",$AA$32,"size",4),IF(N15=$AA$37,GETPIVOTDATA("Average of tip %",$AA$32,"size",5),GETPIVOTDATA("Average of tip %",$AA$32,"size",6)))))))</f>
        <v>0.15984705770871196</v>
      </c>
      <c r="S15" s="14">
        <f t="shared" si="0"/>
        <v>2.9552818213886538</v>
      </c>
      <c r="T15" s="17">
        <f t="shared" si="1"/>
        <v>1.5345317540036347</v>
      </c>
      <c r="U15" s="12">
        <f t="shared" si="2"/>
        <v>2.2449067876961442</v>
      </c>
      <c r="W15" t="s">
        <v>40</v>
      </c>
      <c r="X15">
        <f>CORREL(K2:K245,$P$2:$P$245)</f>
        <v>3.5690960102804779E-2</v>
      </c>
      <c r="Y15">
        <f>CORREL(K$2:K$245,$Q$2:$Q$245)</f>
        <v>7.9056473799197793E-2</v>
      </c>
    </row>
    <row r="16" spans="1:34" x14ac:dyDescent="0.2">
      <c r="A16" t="s">
        <v>11</v>
      </c>
      <c r="B16" t="s">
        <v>8</v>
      </c>
      <c r="C16" t="s">
        <v>21</v>
      </c>
      <c r="D16" t="s">
        <v>10</v>
      </c>
      <c r="E16">
        <v>2</v>
      </c>
      <c r="F16">
        <v>9.5500000000000007</v>
      </c>
      <c r="G16">
        <v>1.45</v>
      </c>
      <c r="H16" s="5">
        <f>G16/F16</f>
        <v>0.15183246073298429</v>
      </c>
      <c r="J16" s="16">
        <f>IF(A16="Male",0, 1)</f>
        <v>0</v>
      </c>
      <c r="K16" s="13">
        <f>IF(B16="No",0, 1)</f>
        <v>0</v>
      </c>
      <c r="L16" s="13">
        <f>IF(C16="Mon",1,IF(C16="Tues",2,IF(C16="Wed",3,IF(C16="Thur",4,IF(C16="Fri",5,IF(C16="Sat",6,7))))))</f>
        <v>6</v>
      </c>
      <c r="M16" s="13">
        <f>IF(D16="Lunch",0,1)</f>
        <v>1</v>
      </c>
      <c r="N16" s="13">
        <v>2</v>
      </c>
      <c r="O16" s="13">
        <v>9.68</v>
      </c>
      <c r="P16" s="13">
        <v>1.32</v>
      </c>
      <c r="Q16" s="15">
        <f>P16/O16</f>
        <v>0.13636363636363638</v>
      </c>
      <c r="R16" s="15">
        <f>AVERAGE(IF(A16="Female",GETPIVOTDATA("tip %",$W$26,"sex","Female"),GETPIVOTDATA("tip %",$W$26,"sex","Male")),IF(K16=0,GETPIVOTDATA("tip %",$AA$26,"smoker","No"),GETPIVOTDATA("tip %",$AA$26,"smoker","Yes")),IF(C16=$W$33,GETPIVOTDATA("tip %",$W$32,"day","Thur"),IF(C16=$W$34,GETPIVOTDATA("tip %",$W$32,"day","Fri"),IF(C16=$W$35,GETPIVOTDATA("tip %",$W$32,"day","Sat"),IF(C16=$W$36,GETPIVOTDATA("tip %",$W$32,"day","Sun"),GETPIVOTDATA("tip %",$W$32))))),IF(D16=$AE$27,GETPIVOTDATA("tip %",$AE$26,"time","Dinner"),GETPIVOTDATA("tip %",$AE$26,"time","Lunch")),IF(N16=$AA$33,GETPIVOTDATA("Average of tip %",$AA$32,"size",1),IF(N16=$AA$34,GETPIVOTDATA("Average of tip %",$AA$32,"size",2),IF(N16=$AA$35,GETPIVOTDATA("Average of tip %",$AA$32,"size",3),IF(N16=$AA$36,GETPIVOTDATA("Average of tip %",$AA$32,"size",4),IF(N16=$AA$37,GETPIVOTDATA("Average of tip %",$AA$32,"size",5),GETPIVOTDATA("Average of tip %",$AA$32,"size",6)))))))</f>
        <v>0.15907354121717945</v>
      </c>
      <c r="S16" s="14">
        <f t="shared" si="0"/>
        <v>2.9519107468319357</v>
      </c>
      <c r="T16" s="17">
        <f t="shared" si="1"/>
        <v>1.5398318789822971</v>
      </c>
      <c r="U16" s="12">
        <f t="shared" si="2"/>
        <v>2.2458713129071164</v>
      </c>
      <c r="W16" t="s">
        <v>2</v>
      </c>
      <c r="X16">
        <f>CORREL(L2:L245,$P$2:$P$245)</f>
        <v>0.21416599395742483</v>
      </c>
      <c r="Y16">
        <f>CORREL(L$2:L$245,$Q$2:$Q$245)</f>
        <v>4.7489523707445483E-2</v>
      </c>
    </row>
    <row r="17" spans="1:33" x14ac:dyDescent="0.2">
      <c r="A17" t="s">
        <v>11</v>
      </c>
      <c r="B17" t="s">
        <v>8</v>
      </c>
      <c r="C17" t="s">
        <v>21</v>
      </c>
      <c r="D17" t="s">
        <v>10</v>
      </c>
      <c r="E17">
        <v>2</v>
      </c>
      <c r="F17">
        <v>10.77</v>
      </c>
      <c r="G17">
        <v>1.47</v>
      </c>
      <c r="H17" s="5">
        <f>G17/F17</f>
        <v>0.13649025069637882</v>
      </c>
      <c r="J17" s="16">
        <f>IF(A17="Male",0, 1)</f>
        <v>0</v>
      </c>
      <c r="K17" s="13">
        <f>IF(B17="No",0, 1)</f>
        <v>0</v>
      </c>
      <c r="L17" s="13">
        <f>IF(C17="Mon",1,IF(C17="Tues",2,IF(C17="Wed",3,IF(C17="Thur",4,IF(C17="Fri",5,IF(C17="Sat",6,7))))))</f>
        <v>6</v>
      </c>
      <c r="M17" s="13">
        <f>IF(D17="Lunch",0,1)</f>
        <v>1</v>
      </c>
      <c r="N17" s="13">
        <v>2</v>
      </c>
      <c r="O17" s="13">
        <v>9.7799999999999994</v>
      </c>
      <c r="P17" s="13">
        <v>1.73</v>
      </c>
      <c r="Q17" s="15">
        <f>P17/O17</f>
        <v>0.17689161554192229</v>
      </c>
      <c r="R17" s="15">
        <f>AVERAGE(IF(A17="Female",GETPIVOTDATA("tip %",$W$26,"sex","Female"),GETPIVOTDATA("tip %",$W$26,"sex","Male")),IF(K17=0,GETPIVOTDATA("tip %",$AA$26,"smoker","No"),GETPIVOTDATA("tip %",$AA$26,"smoker","Yes")),IF(C17=$W$33,GETPIVOTDATA("tip %",$W$32,"day","Thur"),IF(C17=$W$34,GETPIVOTDATA("tip %",$W$32,"day","Fri"),IF(C17=$W$35,GETPIVOTDATA("tip %",$W$32,"day","Sat"),IF(C17=$W$36,GETPIVOTDATA("tip %",$W$32,"day","Sun"),GETPIVOTDATA("tip %",$W$32))))),IF(D17=$AE$27,GETPIVOTDATA("tip %",$AE$26,"time","Dinner"),GETPIVOTDATA("tip %",$AE$26,"time","Lunch")),IF(N17=$AA$33,GETPIVOTDATA("Average of tip %",$AA$32,"size",1),IF(N17=$AA$34,GETPIVOTDATA("Average of tip %",$AA$32,"size",2),IF(N17=$AA$35,GETPIVOTDATA("Average of tip %",$AA$32,"size",3),IF(N17=$AA$36,GETPIVOTDATA("Average of tip %",$AA$32,"size",4),IF(N17=$AA$37,GETPIVOTDATA("Average of tip %",$AA$32,"size",5),GETPIVOTDATA("Average of tip %",$AA$32,"size",6)))))))</f>
        <v>0.15907354121717945</v>
      </c>
      <c r="S17" s="14">
        <f t="shared" si="0"/>
        <v>2.9519107468319357</v>
      </c>
      <c r="T17" s="17">
        <f t="shared" si="1"/>
        <v>1.555739233104015</v>
      </c>
      <c r="U17" s="12">
        <f t="shared" si="2"/>
        <v>2.2538249899679754</v>
      </c>
      <c r="W17" t="s">
        <v>39</v>
      </c>
      <c r="X17">
        <f>CORREL(M2:M245,$P$2:$P$245)</f>
        <v>0.22106156676541253</v>
      </c>
      <c r="Y17">
        <f>CORREL(M$2:M$245,$Q$2:$Q$245)</f>
        <v>0.11815649958478122</v>
      </c>
    </row>
    <row r="18" spans="1:33" x14ac:dyDescent="0.2">
      <c r="A18" t="s">
        <v>11</v>
      </c>
      <c r="B18" t="s">
        <v>8</v>
      </c>
      <c r="C18" t="s">
        <v>23</v>
      </c>
      <c r="D18" t="s">
        <v>24</v>
      </c>
      <c r="E18">
        <v>2</v>
      </c>
      <c r="F18">
        <v>8.52</v>
      </c>
      <c r="G18">
        <v>1.48</v>
      </c>
      <c r="H18" s="5">
        <f>G18/F18</f>
        <v>0.17370892018779344</v>
      </c>
      <c r="J18" s="16">
        <f>IF(A18="Male",0, 1)</f>
        <v>0</v>
      </c>
      <c r="K18" s="13">
        <f>IF(B18="No",0, 1)</f>
        <v>0</v>
      </c>
      <c r="L18" s="13">
        <f>IF(C18="Mon",1,IF(C18="Tues",2,IF(C18="Wed",3,IF(C18="Thur",4,IF(C18="Fri",5,IF(C18="Sat",6,7))))))</f>
        <v>4</v>
      </c>
      <c r="M18" s="13">
        <f>IF(D18="Lunch",0,1)</f>
        <v>0</v>
      </c>
      <c r="N18" s="13">
        <v>2</v>
      </c>
      <c r="O18" s="13">
        <v>9.94</v>
      </c>
      <c r="P18" s="13">
        <v>1.56</v>
      </c>
      <c r="Q18" s="15">
        <f>P18/O18</f>
        <v>0.15694164989939638</v>
      </c>
      <c r="R18" s="15">
        <f>AVERAGE(IF(A18="Female",GETPIVOTDATA("tip %",$W$26,"sex","Female"),GETPIVOTDATA("tip %",$W$26,"sex","Male")),IF(K18=0,GETPIVOTDATA("tip %",$AA$26,"smoker","No"),GETPIVOTDATA("tip %",$AA$26,"smoker","Yes")),IF(C18=$W$33,GETPIVOTDATA("tip %",$W$32,"day","Thur"),IF(C18=$W$34,GETPIVOTDATA("tip %",$W$32,"day","Fri"),IF(C18=$W$35,GETPIVOTDATA("tip %",$W$32,"day","Sat"),IF(C18=$W$36,GETPIVOTDATA("tip %",$W$32,"day","Sun"),GETPIVOTDATA("tip %",$W$32))))),IF(D18=$AE$27,GETPIVOTDATA("tip %",$AE$26,"time","Dinner"),GETPIVOTDATA("tip %",$AE$26,"time","Lunch")),IF(N18=$AA$33,GETPIVOTDATA("Average of tip %",$AA$32,"size",1),IF(N18=$AA$34,GETPIVOTDATA("Average of tip %",$AA$32,"size",2),IF(N18=$AA$35,GETPIVOTDATA("Average of tip %",$AA$32,"size",3),IF(N18=$AA$36,GETPIVOTDATA("Average of tip %",$AA$32,"size",4),IF(N18=$AA$37,GETPIVOTDATA("Average of tip %",$AA$32,"size",5),GETPIVOTDATA("Average of tip %",$AA$32,"size",6)))))))</f>
        <v>0.16162035260949875</v>
      </c>
      <c r="S18" s="14">
        <f t="shared" si="0"/>
        <v>2.8326639359071408</v>
      </c>
      <c r="T18" s="17">
        <f t="shared" si="1"/>
        <v>1.6065063049384176</v>
      </c>
      <c r="U18" s="12">
        <f t="shared" si="2"/>
        <v>2.2195851204227792</v>
      </c>
      <c r="W18" s="6" t="s">
        <v>4</v>
      </c>
      <c r="X18">
        <f>CORREL(N2:N245,$P$2:$P$245)</f>
        <v>0.48929877523035814</v>
      </c>
      <c r="Y18">
        <f>CORREL(N$2:N$245,$Q$2:$Q$245)</f>
        <v>-0.14285960069312367</v>
      </c>
    </row>
    <row r="19" spans="1:33" x14ac:dyDescent="0.2">
      <c r="A19" t="s">
        <v>7</v>
      </c>
      <c r="B19" t="s">
        <v>8</v>
      </c>
      <c r="C19" t="s">
        <v>21</v>
      </c>
      <c r="D19" t="s">
        <v>10</v>
      </c>
      <c r="E19">
        <v>2</v>
      </c>
      <c r="F19">
        <v>26.41</v>
      </c>
      <c r="G19">
        <v>1.5</v>
      </c>
      <c r="H19" s="5">
        <f>G19/F19</f>
        <v>5.679666792881484E-2</v>
      </c>
      <c r="J19" s="16">
        <f>IF(A19="Male",0, 1)</f>
        <v>1</v>
      </c>
      <c r="K19" s="13">
        <f>IF(B19="No",0, 1)</f>
        <v>0</v>
      </c>
      <c r="L19" s="13">
        <f>IF(C19="Mon",1,IF(C19="Tues",2,IF(C19="Wed",3,IF(C19="Thur",4,IF(C19="Fri",5,IF(C19="Sat",6,7))))))</f>
        <v>6</v>
      </c>
      <c r="M19" s="13">
        <f>IF(D19="Lunch",0,1)</f>
        <v>1</v>
      </c>
      <c r="N19" s="13">
        <v>2</v>
      </c>
      <c r="O19" s="13">
        <v>10.07</v>
      </c>
      <c r="P19" s="13">
        <v>1.25</v>
      </c>
      <c r="Q19" s="15">
        <f>P19/O19</f>
        <v>0.12413108242303872</v>
      </c>
      <c r="R19" s="15">
        <f>AVERAGE(IF(A19="Female",GETPIVOTDATA("tip %",$W$26,"sex","Female"),GETPIVOTDATA("tip %",$W$26,"sex","Male")),IF(K19=0,GETPIVOTDATA("tip %",$AA$26,"smoker","No"),GETPIVOTDATA("tip %",$AA$26,"smoker","Yes")),IF(C19=$W$33,GETPIVOTDATA("tip %",$W$32,"day","Thur"),IF(C19=$W$34,GETPIVOTDATA("tip %",$W$32,"day","Fri"),IF(C19=$W$35,GETPIVOTDATA("tip %",$W$32,"day","Sat"),IF(C19=$W$36,GETPIVOTDATA("tip %",$W$32,"day","Sun"),GETPIVOTDATA("tip %",$W$32))))),IF(D19=$AE$27,GETPIVOTDATA("tip %",$AE$26,"time","Dinner"),GETPIVOTDATA("tip %",$AE$26,"time","Lunch")),IF(N19=$AA$33,GETPIVOTDATA("Average of tip %",$AA$32,"size",1),IF(N19=$AA$34,GETPIVOTDATA("Average of tip %",$AA$32,"size",2),IF(N19=$AA$35,GETPIVOTDATA("Average of tip %",$AA$32,"size",3),IF(N19=$AA$36,GETPIVOTDATA("Average of tip %",$AA$32,"size",4),IF(N19=$AA$37,GETPIVOTDATA("Average of tip %",$AA$32,"size",5),GETPIVOTDATA("Average of tip %",$AA$32,"size",6)))))))</f>
        <v>0.16084157908210489</v>
      </c>
      <c r="S19" s="14">
        <f t="shared" si="0"/>
        <v>2.9006768351253682</v>
      </c>
      <c r="T19" s="17">
        <f t="shared" si="1"/>
        <v>1.6196747013567963</v>
      </c>
      <c r="U19" s="12">
        <f t="shared" si="2"/>
        <v>2.2601757682410821</v>
      </c>
      <c r="W19" s="6" t="s">
        <v>47</v>
      </c>
      <c r="X19">
        <f>CORREL($O$2:$O$245,$P$2:$P$245)</f>
        <v>0.67573410921136468</v>
      </c>
      <c r="Y19">
        <f>CORREL($O$2:$O$245,Q2:Q245)</f>
        <v>-0.33862408496473517</v>
      </c>
    </row>
    <row r="20" spans="1:33" x14ac:dyDescent="0.2">
      <c r="A20" t="s">
        <v>11</v>
      </c>
      <c r="B20" t="s">
        <v>22</v>
      </c>
      <c r="C20" t="s">
        <v>25</v>
      </c>
      <c r="D20" t="s">
        <v>10</v>
      </c>
      <c r="E20">
        <v>2</v>
      </c>
      <c r="F20">
        <v>12.03</v>
      </c>
      <c r="G20">
        <v>1.5</v>
      </c>
      <c r="H20" s="5">
        <f>G20/F20</f>
        <v>0.12468827930174564</v>
      </c>
      <c r="J20" s="16">
        <f>IF(A20="Male",0, 1)</f>
        <v>0</v>
      </c>
      <c r="K20" s="13">
        <f>IF(B20="No",0, 1)</f>
        <v>1</v>
      </c>
      <c r="L20" s="13">
        <f>IF(C20="Mon",1,IF(C20="Tues",2,IF(C20="Wed",3,IF(C20="Thur",4,IF(C20="Fri",5,IF(C20="Sat",6,7))))))</f>
        <v>5</v>
      </c>
      <c r="M20" s="13">
        <f>IF(D20="Lunch",0,1)</f>
        <v>1</v>
      </c>
      <c r="N20" s="13">
        <v>1</v>
      </c>
      <c r="O20" s="13">
        <v>10.07</v>
      </c>
      <c r="P20" s="13">
        <v>1.83</v>
      </c>
      <c r="Q20" s="15">
        <f>P20/O20</f>
        <v>0.18172790466732869</v>
      </c>
      <c r="R20" s="15">
        <f>AVERAGE(IF(A20="Female",GETPIVOTDATA("tip %",$W$26,"sex","Female"),GETPIVOTDATA("tip %",$W$26,"sex","Male")),IF(K20=0,GETPIVOTDATA("tip %",$AA$26,"smoker","No"),GETPIVOTDATA("tip %",$AA$26,"smoker","Yes")),IF(C20=$W$33,GETPIVOTDATA("tip %",$W$32,"day","Thur"),IF(C20=$W$34,GETPIVOTDATA("tip %",$W$32,"day","Fri"),IF(C20=$W$35,GETPIVOTDATA("tip %",$W$32,"day","Sat"),IF(C20=$W$36,GETPIVOTDATA("tip %",$W$32,"day","Sun"),GETPIVOTDATA("tip %",$W$32))))),IF(D20=$AE$27,GETPIVOTDATA("tip %",$AE$26,"time","Dinner"),GETPIVOTDATA("tip %",$AE$26,"time","Lunch")),IF(N20=$AA$33,GETPIVOTDATA("Average of tip %",$AA$32,"size",1),IF(N20=$AA$34,GETPIVOTDATA("Average of tip %",$AA$32,"size",2),IF(N20=$AA$35,GETPIVOTDATA("Average of tip %",$AA$32,"size",3),IF(N20=$AA$36,GETPIVOTDATA("Average of tip %",$AA$32,"size",4),IF(N20=$AA$37,GETPIVOTDATA("Average of tip %",$AA$32,"size",5),GETPIVOTDATA("Average of tip %",$AA$32,"size",6)))))))</f>
        <v>0.17351388492834197</v>
      </c>
      <c r="S20" s="14">
        <f t="shared" si="0"/>
        <v>2.903608500154534</v>
      </c>
      <c r="T20" s="17">
        <f t="shared" si="1"/>
        <v>1.7472848212284036</v>
      </c>
      <c r="U20" s="12">
        <f t="shared" si="2"/>
        <v>2.325446660691469</v>
      </c>
      <c r="W20" s="6" t="s">
        <v>61</v>
      </c>
    </row>
    <row r="21" spans="1:33" x14ac:dyDescent="0.2">
      <c r="A21" t="s">
        <v>11</v>
      </c>
      <c r="B21" t="s">
        <v>8</v>
      </c>
      <c r="C21" t="s">
        <v>25</v>
      </c>
      <c r="D21" t="s">
        <v>10</v>
      </c>
      <c r="E21">
        <v>2</v>
      </c>
      <c r="F21">
        <v>12.46</v>
      </c>
      <c r="G21">
        <v>1.5</v>
      </c>
      <c r="H21" s="5">
        <f>G21/F21</f>
        <v>0.1203852327447833</v>
      </c>
      <c r="J21" s="16">
        <f>IF(A21="Male",0, 1)</f>
        <v>0</v>
      </c>
      <c r="K21" s="13">
        <f>IF(B21="No",0, 1)</f>
        <v>0</v>
      </c>
      <c r="L21" s="13">
        <f>IF(C21="Mon",1,IF(C21="Tues",2,IF(C21="Wed",3,IF(C21="Thur",4,IF(C21="Fri",5,IF(C21="Sat",6,7))))))</f>
        <v>5</v>
      </c>
      <c r="M21" s="13">
        <f>IF(D21="Lunch",0,1)</f>
        <v>1</v>
      </c>
      <c r="N21" s="13">
        <v>2</v>
      </c>
      <c r="O21" s="13">
        <v>10.09</v>
      </c>
      <c r="P21" s="13">
        <v>2</v>
      </c>
      <c r="Q21" s="15">
        <f>P21/O21</f>
        <v>0.19821605550049554</v>
      </c>
      <c r="R21" s="15">
        <f>AVERAGE(IF(A21="Female",GETPIVOTDATA("tip %",$W$26,"sex","Female"),GETPIVOTDATA("tip %",$W$26,"sex","Male")),IF(K21=0,GETPIVOTDATA("tip %",$AA$26,"smoker","No"),GETPIVOTDATA("tip %",$AA$26,"smoker","Yes")),IF(C21=$W$33,GETPIVOTDATA("tip %",$W$32,"day","Thur"),IF(C21=$W$34,GETPIVOTDATA("tip %",$W$32,"day","Fri"),IF(C21=$W$35,GETPIVOTDATA("tip %",$W$32,"day","Sat"),IF(C21=$W$36,GETPIVOTDATA("tip %",$W$32,"day","Sun"),GETPIVOTDATA("tip %",$W$32))))),IF(D21=$AE$27,GETPIVOTDATA("tip %",$AE$26,"time","Dinner"),GETPIVOTDATA("tip %",$AE$26,"time","Lunch")),IF(N21=$AA$33,GETPIVOTDATA("Average of tip %",$AA$32,"size",1),IF(N21=$AA$34,GETPIVOTDATA("Average of tip %",$AA$32,"size",2),IF(N21=$AA$35,GETPIVOTDATA("Average of tip %",$AA$32,"size",3),IF(N21=$AA$36,GETPIVOTDATA("Average of tip %",$AA$32,"size",4),IF(N21=$AA$37,GETPIVOTDATA("Average of tip %",$AA$32,"size",5),GETPIVOTDATA("Average of tip %",$AA$32,"size",6)))))))</f>
        <v>0.16242580368631959</v>
      </c>
      <c r="S21" s="14">
        <f t="shared" si="0"/>
        <v>2.9002374255978154</v>
      </c>
      <c r="T21" s="17">
        <f t="shared" si="1"/>
        <v>1.6388763591949647</v>
      </c>
      <c r="U21" s="12">
        <f t="shared" si="2"/>
        <v>2.2695568923963902</v>
      </c>
      <c r="W21" s="6" t="s">
        <v>60</v>
      </c>
    </row>
    <row r="22" spans="1:33" x14ac:dyDescent="0.2">
      <c r="A22" t="s">
        <v>7</v>
      </c>
      <c r="B22" t="s">
        <v>8</v>
      </c>
      <c r="C22" t="s">
        <v>23</v>
      </c>
      <c r="D22" t="s">
        <v>24</v>
      </c>
      <c r="E22">
        <v>2</v>
      </c>
      <c r="F22">
        <v>10.65</v>
      </c>
      <c r="G22">
        <v>1.5</v>
      </c>
      <c r="H22" s="5">
        <f>G22/F22</f>
        <v>0.14084507042253522</v>
      </c>
      <c r="J22" s="16">
        <f>IF(A22="Male",0, 1)</f>
        <v>1</v>
      </c>
      <c r="K22" s="13">
        <f>IF(B22="No",0, 1)</f>
        <v>0</v>
      </c>
      <c r="L22" s="13">
        <f>IF(C22="Mon",1,IF(C22="Tues",2,IF(C22="Wed",3,IF(C22="Thur",4,IF(C22="Fri",5,IF(C22="Sat",6,7))))))</f>
        <v>4</v>
      </c>
      <c r="M22" s="13">
        <f>IF(D22="Lunch",0,1)</f>
        <v>0</v>
      </c>
      <c r="N22" s="13">
        <v>2</v>
      </c>
      <c r="O22" s="13">
        <v>10.27</v>
      </c>
      <c r="P22" s="13">
        <v>1.71</v>
      </c>
      <c r="Q22" s="15">
        <f>P22/O22</f>
        <v>0.1665043816942551</v>
      </c>
      <c r="R22" s="15">
        <f>AVERAGE(IF(A22="Female",GETPIVOTDATA("tip %",$W$26,"sex","Female"),GETPIVOTDATA("tip %",$W$26,"sex","Male")),IF(K22=0,GETPIVOTDATA("tip %",$AA$26,"smoker","No"),GETPIVOTDATA("tip %",$AA$26,"smoker","Yes")),IF(C22=$W$33,GETPIVOTDATA("tip %",$W$32,"day","Thur"),IF(C22=$W$34,GETPIVOTDATA("tip %",$W$32,"day","Fri"),IF(C22=$W$35,GETPIVOTDATA("tip %",$W$32,"day","Sat"),IF(C22=$W$36,GETPIVOTDATA("tip %",$W$32,"day","Sun"),GETPIVOTDATA("tip %",$W$32))))),IF(D22=$AE$27,GETPIVOTDATA("tip %",$AE$26,"time","Dinner"),GETPIVOTDATA("tip %",$AE$26,"time","Lunch")),IF(N22=$AA$33,GETPIVOTDATA("Average of tip %",$AA$32,"size",1),IF(N22=$AA$34,GETPIVOTDATA("Average of tip %",$AA$32,"size",2),IF(N22=$AA$35,GETPIVOTDATA("Average of tip %",$AA$32,"size",3),IF(N22=$AA$36,GETPIVOTDATA("Average of tip %",$AA$32,"size",4),IF(N22=$AA$37,GETPIVOTDATA("Average of tip %",$AA$32,"size",5),GETPIVOTDATA("Average of tip %",$AA$32,"size",6)))))))</f>
        <v>0.16338839047442422</v>
      </c>
      <c r="S22" s="14">
        <f t="shared" si="0"/>
        <v>2.7814300242005734</v>
      </c>
      <c r="T22" s="17">
        <f t="shared" si="1"/>
        <v>1.6779987701723367</v>
      </c>
      <c r="U22" s="12">
        <f t="shared" si="2"/>
        <v>2.2297143971864548</v>
      </c>
      <c r="V22">
        <v>5</v>
      </c>
      <c r="W22" s="2" t="s">
        <v>30</v>
      </c>
    </row>
    <row r="23" spans="1:33" x14ac:dyDescent="0.2">
      <c r="A23" t="s">
        <v>11</v>
      </c>
      <c r="B23" t="s">
        <v>8</v>
      </c>
      <c r="C23" t="s">
        <v>23</v>
      </c>
      <c r="D23" t="s">
        <v>24</v>
      </c>
      <c r="E23">
        <v>2</v>
      </c>
      <c r="F23">
        <v>19.079999999999998</v>
      </c>
      <c r="G23">
        <v>1.5</v>
      </c>
      <c r="H23" s="5">
        <f>G23/F23</f>
        <v>7.8616352201257872E-2</v>
      </c>
      <c r="J23" s="16">
        <f>IF(A23="Male",0, 1)</f>
        <v>0</v>
      </c>
      <c r="K23" s="13">
        <f>IF(B23="No",0, 1)</f>
        <v>0</v>
      </c>
      <c r="L23" s="13">
        <f>IF(C23="Mon",1,IF(C23="Tues",2,IF(C23="Wed",3,IF(C23="Thur",4,IF(C23="Fri",5,IF(C23="Sat",6,7))))))</f>
        <v>4</v>
      </c>
      <c r="M23" s="13">
        <f>IF(D23="Lunch",0,1)</f>
        <v>0</v>
      </c>
      <c r="N23" s="13">
        <v>2</v>
      </c>
      <c r="O23" s="13">
        <v>10.29</v>
      </c>
      <c r="P23" s="13">
        <v>2.6</v>
      </c>
      <c r="Q23" s="15">
        <f>P23/O23</f>
        <v>0.25267249757045679</v>
      </c>
      <c r="R23" s="15">
        <f>AVERAGE(IF(A23="Female",GETPIVOTDATA("tip %",$W$26,"sex","Female"),GETPIVOTDATA("tip %",$W$26,"sex","Male")),IF(K23=0,GETPIVOTDATA("tip %",$AA$26,"smoker","No"),GETPIVOTDATA("tip %",$AA$26,"smoker","Yes")),IF(C23=$W$33,GETPIVOTDATA("tip %",$W$32,"day","Thur"),IF(C23=$W$34,GETPIVOTDATA("tip %",$W$32,"day","Fri"),IF(C23=$W$35,GETPIVOTDATA("tip %",$W$32,"day","Sat"),IF(C23=$W$36,GETPIVOTDATA("tip %",$W$32,"day","Sun"),GETPIVOTDATA("tip %",$W$32))))),IF(D23=$AE$27,GETPIVOTDATA("tip %",$AE$26,"time","Dinner"),GETPIVOTDATA("tip %",$AE$26,"time","Lunch")),IF(N23=$AA$33,GETPIVOTDATA("Average of tip %",$AA$32,"size",1),IF(N23=$AA$34,GETPIVOTDATA("Average of tip %",$AA$32,"size",2),IF(N23=$AA$35,GETPIVOTDATA("Average of tip %",$AA$32,"size",3),IF(N23=$AA$36,GETPIVOTDATA("Average of tip %",$AA$32,"size",4),IF(N23=$AA$37,GETPIVOTDATA("Average of tip %",$AA$32,"size",5),GETPIVOTDATA("Average of tip %",$AA$32,"size",6)))))))</f>
        <v>0.16162035260949875</v>
      </c>
      <c r="S23" s="14">
        <f t="shared" si="0"/>
        <v>2.8326639359071408</v>
      </c>
      <c r="T23" s="17">
        <f t="shared" si="1"/>
        <v>1.6630734283517421</v>
      </c>
      <c r="U23" s="12">
        <f t="shared" si="2"/>
        <v>2.2478686821294414</v>
      </c>
      <c r="W23" s="6" t="s">
        <v>55</v>
      </c>
    </row>
    <row r="24" spans="1:33" ht="16" thickBot="1" x14ac:dyDescent="0.25">
      <c r="A24" t="s">
        <v>7</v>
      </c>
      <c r="B24" t="s">
        <v>8</v>
      </c>
      <c r="C24" t="s">
        <v>23</v>
      </c>
      <c r="D24" t="s">
        <v>24</v>
      </c>
      <c r="E24">
        <v>2</v>
      </c>
      <c r="F24">
        <v>11.17</v>
      </c>
      <c r="G24">
        <v>1.5</v>
      </c>
      <c r="H24" s="5">
        <f>G24/F24</f>
        <v>0.13428827215756492</v>
      </c>
      <c r="J24" s="16">
        <f>IF(A24="Male",0, 1)</f>
        <v>1</v>
      </c>
      <c r="K24" s="13">
        <f>IF(B24="No",0, 1)</f>
        <v>0</v>
      </c>
      <c r="L24" s="13">
        <f>IF(C24="Mon",1,IF(C24="Tues",2,IF(C24="Wed",3,IF(C24="Thur",4,IF(C24="Fri",5,IF(C24="Sat",6,7))))))</f>
        <v>4</v>
      </c>
      <c r="M24" s="13">
        <f>IF(D24="Lunch",0,1)</f>
        <v>0</v>
      </c>
      <c r="N24" s="13">
        <v>3</v>
      </c>
      <c r="O24" s="13">
        <v>10.33</v>
      </c>
      <c r="P24" s="13">
        <v>1.67</v>
      </c>
      <c r="Q24" s="15">
        <f>P24/O24</f>
        <v>0.16166505324298161</v>
      </c>
      <c r="R24" s="15">
        <f>AVERAGE(IF(A24="Female",GETPIVOTDATA("tip %",$W$26,"sex","Female"),GETPIVOTDATA("tip %",$W$26,"sex","Male")),IF(K24=0,GETPIVOTDATA("tip %",$AA$26,"smoker","No"),GETPIVOTDATA("tip %",$AA$26,"smoker","Yes")),IF(C24=$W$33,GETPIVOTDATA("tip %",$W$32,"day","Thur"),IF(C24=$W$34,GETPIVOTDATA("tip %",$W$32,"day","Fri"),IF(C24=$W$35,GETPIVOTDATA("tip %",$W$32,"day","Sat"),IF(C24=$W$36,GETPIVOTDATA("tip %",$W$32,"day","Sun"),GETPIVOTDATA("tip %",$W$32))))),IF(D24=$AE$27,GETPIVOTDATA("tip %",$AE$26,"time","Dinner"),GETPIVOTDATA("tip %",$AE$26,"time","Lunch")),IF(N24=$AA$33,GETPIVOTDATA("Average of tip %",$AA$32,"size",1),IF(N24=$AA$34,GETPIVOTDATA("Average of tip %",$AA$32,"size",2),IF(N24=$AA$35,GETPIVOTDATA("Average of tip %",$AA$32,"size",3),IF(N24=$AA$36,GETPIVOTDATA("Average of tip %",$AA$32,"size",4),IF(N24=$AA$37,GETPIVOTDATA("Average of tip %",$AA$32,"size",5),GETPIVOTDATA("Average of tip %",$AA$32,"size",6)))))))</f>
        <v>0.16067592307488207</v>
      </c>
      <c r="S24" s="14">
        <f t="shared" si="0"/>
        <v>2.7814300242005734</v>
      </c>
      <c r="T24" s="17">
        <f t="shared" si="1"/>
        <v>1.6597822853635318</v>
      </c>
      <c r="U24" s="12">
        <f t="shared" si="2"/>
        <v>2.2206061547820526</v>
      </c>
      <c r="W24" s="6" t="s">
        <v>56</v>
      </c>
    </row>
    <row r="25" spans="1:33" x14ac:dyDescent="0.2">
      <c r="A25" t="s">
        <v>7</v>
      </c>
      <c r="B25" t="s">
        <v>8</v>
      </c>
      <c r="C25" t="s">
        <v>23</v>
      </c>
      <c r="D25" t="s">
        <v>24</v>
      </c>
      <c r="E25">
        <v>2</v>
      </c>
      <c r="F25">
        <v>8.35</v>
      </c>
      <c r="G25">
        <v>1.5</v>
      </c>
      <c r="H25" s="5">
        <f>G25/F25</f>
        <v>0.17964071856287425</v>
      </c>
      <c r="J25" s="16">
        <f>IF(A25="Male",0, 1)</f>
        <v>1</v>
      </c>
      <c r="K25" s="13">
        <f>IF(B25="No",0, 1)</f>
        <v>0</v>
      </c>
      <c r="L25" s="13">
        <f>IF(C25="Mon",1,IF(C25="Tues",2,IF(C25="Wed",3,IF(C25="Thur",4,IF(C25="Fri",5,IF(C25="Sat",6,7))))))</f>
        <v>4</v>
      </c>
      <c r="M25" s="13">
        <f>IF(D25="Lunch",0,1)</f>
        <v>0</v>
      </c>
      <c r="N25" s="13">
        <v>2</v>
      </c>
      <c r="O25" s="13">
        <v>10.33</v>
      </c>
      <c r="P25" s="13">
        <v>2</v>
      </c>
      <c r="Q25" s="15">
        <f>P25/O25</f>
        <v>0.1936108422071636</v>
      </c>
      <c r="R25" s="15">
        <f>AVERAGE(IF(A25="Female",GETPIVOTDATA("tip %",$W$26,"sex","Female"),GETPIVOTDATA("tip %",$W$26,"sex","Male")),IF(K25=0,GETPIVOTDATA("tip %",$AA$26,"smoker","No"),GETPIVOTDATA("tip %",$AA$26,"smoker","Yes")),IF(C25=$W$33,GETPIVOTDATA("tip %",$W$32,"day","Thur"),IF(C25=$W$34,GETPIVOTDATA("tip %",$W$32,"day","Fri"),IF(C25=$W$35,GETPIVOTDATA("tip %",$W$32,"day","Sat"),IF(C25=$W$36,GETPIVOTDATA("tip %",$W$32,"day","Sun"),GETPIVOTDATA("tip %",$W$32))))),IF(D25=$AE$27,GETPIVOTDATA("tip %",$AE$26,"time","Dinner"),GETPIVOTDATA("tip %",$AE$26,"time","Lunch")),IF(N25=$AA$33,GETPIVOTDATA("Average of tip %",$AA$32,"size",1),IF(N25=$AA$34,GETPIVOTDATA("Average of tip %",$AA$32,"size",2),IF(N25=$AA$35,GETPIVOTDATA("Average of tip %",$AA$32,"size",3),IF(N25=$AA$36,GETPIVOTDATA("Average of tip %",$AA$32,"size",4),IF(N25=$AA$37,GETPIVOTDATA("Average of tip %",$AA$32,"size",5),GETPIVOTDATA("Average of tip %",$AA$32,"size",6)))))))</f>
        <v>0.16338839047442422</v>
      </c>
      <c r="S25" s="14">
        <f t="shared" si="0"/>
        <v>2.7814300242005734</v>
      </c>
      <c r="T25" s="17">
        <f t="shared" si="1"/>
        <v>1.6878020736008021</v>
      </c>
      <c r="U25" s="12">
        <f t="shared" si="2"/>
        <v>2.2346160489006879</v>
      </c>
      <c r="W25" s="43" t="s">
        <v>50</v>
      </c>
      <c r="X25" s="44"/>
      <c r="Y25" s="45"/>
      <c r="AA25" s="43" t="s">
        <v>51</v>
      </c>
      <c r="AB25" s="44"/>
      <c r="AC25" s="45"/>
      <c r="AE25" s="43" t="s">
        <v>54</v>
      </c>
      <c r="AF25" s="44"/>
      <c r="AG25" s="45"/>
    </row>
    <row r="26" spans="1:33" x14ac:dyDescent="0.2">
      <c r="A26" t="s">
        <v>11</v>
      </c>
      <c r="B26" t="s">
        <v>22</v>
      </c>
      <c r="C26" t="s">
        <v>9</v>
      </c>
      <c r="D26" t="s">
        <v>10</v>
      </c>
      <c r="E26">
        <v>2</v>
      </c>
      <c r="F26">
        <v>15.69</v>
      </c>
      <c r="G26">
        <v>1.5</v>
      </c>
      <c r="H26" s="5">
        <f>G26/F26</f>
        <v>9.5602294455066919E-2</v>
      </c>
      <c r="J26" s="16">
        <f>IF(A26="Male",0, 1)</f>
        <v>0</v>
      </c>
      <c r="K26" s="13">
        <f>IF(B26="No",0, 1)</f>
        <v>1</v>
      </c>
      <c r="L26" s="13">
        <f>IF(C26="Mon",1,IF(C26="Tues",2,IF(C26="Wed",3,IF(C26="Thur",4,IF(C26="Fri",5,IF(C26="Sat",6,7))))))</f>
        <v>7</v>
      </c>
      <c r="M26" s="13">
        <f>IF(D26="Lunch",0,1)</f>
        <v>1</v>
      </c>
      <c r="N26" s="13">
        <v>3</v>
      </c>
      <c r="O26" s="13">
        <v>10.34</v>
      </c>
      <c r="P26" s="13">
        <v>1.66</v>
      </c>
      <c r="Q26" s="15">
        <f>P26/O26</f>
        <v>0.16054158607350097</v>
      </c>
      <c r="R26" s="15">
        <f>AVERAGE(IF(A26="Female",GETPIVOTDATA("tip %",$W$26,"sex","Female"),GETPIVOTDATA("tip %",$W$26,"sex","Male")),IF(K26=0,GETPIVOTDATA("tip %",$AA$26,"smoker","No"),GETPIVOTDATA("tip %",$AA$26,"smoker","Yes")),IF(C26=$W$33,GETPIVOTDATA("tip %",$W$32,"day","Thur"),IF(C26=$W$34,GETPIVOTDATA("tip %",$W$32,"day","Fri"),IF(C26=$W$35,GETPIVOTDATA("tip %",$W$32,"day","Sat"),IF(C26=$W$36,GETPIVOTDATA("tip %",$W$32,"day","Sun"),GETPIVOTDATA("tip %",$W$32))))),IF(D26=$AE$27,GETPIVOTDATA("tip %",$AE$26,"time","Dinner"),GETPIVOTDATA("tip %",$AE$26,"time","Lunch")),IF(N26=$AA$33,GETPIVOTDATA("Average of tip %",$AA$32,"size",1),IF(N26=$AA$34,GETPIVOTDATA("Average of tip %",$AA$32,"size",2),IF(N26=$AA$35,GETPIVOTDATA("Average of tip %",$AA$32,"size",3),IF(N26=$AA$36,GETPIVOTDATA("Average of tip %",$AA$32,"size",4),IF(N26=$AA$37,GETPIVOTDATA("Average of tip %",$AA$32,"size",5),GETPIVOTDATA("Average of tip %",$AA$32,"size",6)))))))</f>
        <v>0.15988370430184115</v>
      </c>
      <c r="S26" s="14">
        <f t="shared" si="0"/>
        <v>3.0076874475229554</v>
      </c>
      <c r="T26" s="17">
        <f t="shared" si="1"/>
        <v>1.6531975024810375</v>
      </c>
      <c r="U26" s="12">
        <f t="shared" si="2"/>
        <v>2.3304424750019965</v>
      </c>
      <c r="W26" s="32" t="s">
        <v>42</v>
      </c>
      <c r="X26" s="8" t="s">
        <v>49</v>
      </c>
      <c r="Y26" s="33" t="s">
        <v>44</v>
      </c>
      <c r="AA26" s="32" t="s">
        <v>42</v>
      </c>
      <c r="AB26" s="8" t="s">
        <v>49</v>
      </c>
      <c r="AC26" s="33" t="s">
        <v>44</v>
      </c>
      <c r="AE26" s="32" t="s">
        <v>42</v>
      </c>
      <c r="AF26" s="8" t="s">
        <v>49</v>
      </c>
      <c r="AG26" s="33" t="s">
        <v>44</v>
      </c>
    </row>
    <row r="27" spans="1:33" x14ac:dyDescent="0.2">
      <c r="A27" t="s">
        <v>11</v>
      </c>
      <c r="B27" t="s">
        <v>22</v>
      </c>
      <c r="C27" t="s">
        <v>21</v>
      </c>
      <c r="D27" t="s">
        <v>10</v>
      </c>
      <c r="E27">
        <v>2</v>
      </c>
      <c r="F27">
        <v>11.59</v>
      </c>
      <c r="G27">
        <v>1.5</v>
      </c>
      <c r="H27" s="5">
        <f>G27/F27</f>
        <v>0.12942191544434858</v>
      </c>
      <c r="J27" s="16">
        <f>IF(A27="Male",0, 1)</f>
        <v>0</v>
      </c>
      <c r="K27" s="13">
        <f>IF(B27="No",0, 1)</f>
        <v>1</v>
      </c>
      <c r="L27" s="13">
        <f>IF(C27="Mon",1,IF(C27="Tues",2,IF(C27="Wed",3,IF(C27="Thur",4,IF(C27="Fri",5,IF(C27="Sat",6,7))))))</f>
        <v>6</v>
      </c>
      <c r="M27" s="13">
        <f>IF(D27="Lunch",0,1)</f>
        <v>1</v>
      </c>
      <c r="N27" s="13">
        <v>2</v>
      </c>
      <c r="O27" s="13">
        <v>10.34</v>
      </c>
      <c r="P27" s="13">
        <v>2</v>
      </c>
      <c r="Q27" s="15">
        <f>P27/O27</f>
        <v>0.19342359767891684</v>
      </c>
      <c r="R27" s="15">
        <f>AVERAGE(IF(A27="Female",GETPIVOTDATA("tip %",$W$26,"sex","Female"),GETPIVOTDATA("tip %",$W$26,"sex","Male")),IF(K27=0,GETPIVOTDATA("tip %",$AA$26,"smoker","No"),GETPIVOTDATA("tip %",$AA$26,"smoker","Yes")),IF(C27=$W$33,GETPIVOTDATA("tip %",$W$32,"day","Thur"),IF(C27=$W$34,GETPIVOTDATA("tip %",$W$32,"day","Fri"),IF(C27=$W$35,GETPIVOTDATA("tip %",$W$32,"day","Sat"),IF(C27=$W$36,GETPIVOTDATA("tip %",$W$32,"day","Sun"),GETPIVOTDATA("tip %",$W$32))))),IF(D27=$AE$27,GETPIVOTDATA("tip %",$AE$26,"time","Dinner"),GETPIVOTDATA("tip %",$AE$26,"time","Lunch")),IF(N27=$AA$33,GETPIVOTDATA("Average of tip %",$AA$32,"size",1),IF(N27=$AA$34,GETPIVOTDATA("Average of tip %",$AA$32,"size",2),IF(N27=$AA$35,GETPIVOTDATA("Average of tip %",$AA$32,"size",3),IF(N27=$AA$36,GETPIVOTDATA("Average of tip %",$AA$32,"size",4),IF(N27=$AA$37,GETPIVOTDATA("Average of tip %",$AA$32,"size",5),GETPIVOTDATA("Average of tip %",$AA$32,"size",6)))))))</f>
        <v>0.15984705770871196</v>
      </c>
      <c r="S27" s="14">
        <f t="shared" si="0"/>
        <v>2.9552818213886538</v>
      </c>
      <c r="T27" s="17">
        <f t="shared" si="1"/>
        <v>1.6528185767080816</v>
      </c>
      <c r="U27" s="12">
        <f t="shared" si="2"/>
        <v>2.3040501990483677</v>
      </c>
      <c r="W27" s="34" t="s">
        <v>7</v>
      </c>
      <c r="X27" s="25">
        <v>2.833448275862068</v>
      </c>
      <c r="Y27" s="35">
        <v>0.16649073632892475</v>
      </c>
      <c r="AA27" s="34" t="s">
        <v>8</v>
      </c>
      <c r="AB27" s="25">
        <v>2.991854304635762</v>
      </c>
      <c r="AC27" s="35">
        <v>0.15932846217921529</v>
      </c>
      <c r="AE27" s="34" t="s">
        <v>10</v>
      </c>
      <c r="AF27" s="25">
        <v>3.1026704545454553</v>
      </c>
      <c r="AG27" s="35">
        <v>0.1595177887797774</v>
      </c>
    </row>
    <row r="28" spans="1:33" x14ac:dyDescent="0.2">
      <c r="A28" t="s">
        <v>11</v>
      </c>
      <c r="B28" t="s">
        <v>8</v>
      </c>
      <c r="C28" t="s">
        <v>9</v>
      </c>
      <c r="D28" t="s">
        <v>10</v>
      </c>
      <c r="E28">
        <v>2</v>
      </c>
      <c r="F28">
        <v>9.94</v>
      </c>
      <c r="G28">
        <v>1.56</v>
      </c>
      <c r="H28" s="5">
        <f>G28/F28</f>
        <v>0.15694164989939638</v>
      </c>
      <c r="J28" s="16">
        <f>IF(A28="Male",0, 1)</f>
        <v>0</v>
      </c>
      <c r="K28" s="13">
        <f>IF(B28="No",0, 1)</f>
        <v>0</v>
      </c>
      <c r="L28" s="13">
        <f>IF(C28="Mon",1,IF(C28="Tues",2,IF(C28="Wed",3,IF(C28="Thur",4,IF(C28="Fri",5,IF(C28="Sat",6,7))))))</f>
        <v>7</v>
      </c>
      <c r="M28" s="13">
        <f>IF(D28="Lunch",0,1)</f>
        <v>1</v>
      </c>
      <c r="N28" s="13">
        <v>2</v>
      </c>
      <c r="O28" s="13">
        <v>10.51</v>
      </c>
      <c r="P28" s="13">
        <v>1.25</v>
      </c>
      <c r="Q28" s="15">
        <f>P28/O28</f>
        <v>0.11893434823977164</v>
      </c>
      <c r="R28" s="15">
        <f>AVERAGE(IF(A28="Female",GETPIVOTDATA("tip %",$W$26,"sex","Female"),GETPIVOTDATA("tip %",$W$26,"sex","Male")),IF(K28=0,GETPIVOTDATA("tip %",$AA$26,"smoker","No"),GETPIVOTDATA("tip %",$AA$26,"smoker","Yes")),IF(C28=$W$33,GETPIVOTDATA("tip %",$W$32,"day","Thur"),IF(C28=$W$34,GETPIVOTDATA("tip %",$W$32,"day","Fri"),IF(C28=$W$35,GETPIVOTDATA("tip %",$W$32,"day","Sat"),IF(C28=$W$36,GETPIVOTDATA("tip %",$W$32,"day","Sun"),GETPIVOTDATA("tip %",$W$32))))),IF(D28=$AE$27,GETPIVOTDATA("tip %",$AE$26,"time","Dinner"),GETPIVOTDATA("tip %",$AE$26,"time","Lunch")),IF(N28=$AA$33,GETPIVOTDATA("Average of tip %",$AA$32,"size",1),IF(N28=$AA$34,GETPIVOTDATA("Average of tip %",$AA$32,"size",2),IF(N28=$AA$35,GETPIVOTDATA("Average of tip %",$AA$32,"size",3),IF(N28=$AA$36,GETPIVOTDATA("Average of tip %",$AA$32,"size",4),IF(N28=$AA$37,GETPIVOTDATA("Average of tip %",$AA$32,"size",5),GETPIVOTDATA("Average of tip %",$AA$32,"size",6)))))))</f>
        <v>0.16182265520985073</v>
      </c>
      <c r="S28" s="14">
        <f t="shared" si="0"/>
        <v>3.0043163729662368</v>
      </c>
      <c r="T28" s="17">
        <f t="shared" si="1"/>
        <v>1.7007561062555312</v>
      </c>
      <c r="U28" s="12">
        <f t="shared" si="2"/>
        <v>2.3525362396108838</v>
      </c>
      <c r="W28" s="36" t="s">
        <v>11</v>
      </c>
      <c r="X28" s="26">
        <v>3.0896178343949052</v>
      </c>
      <c r="Y28" s="37">
        <v>0.15765054700429751</v>
      </c>
      <c r="AA28" s="36" t="s">
        <v>22</v>
      </c>
      <c r="AB28" s="26">
        <v>3.0087096774193549</v>
      </c>
      <c r="AC28" s="37">
        <v>0.16319604463687792</v>
      </c>
      <c r="AE28" s="36" t="s">
        <v>24</v>
      </c>
      <c r="AF28" s="26">
        <v>2.7280882352941176</v>
      </c>
      <c r="AG28" s="37">
        <v>0.16412792816250496</v>
      </c>
    </row>
    <row r="29" spans="1:33" ht="16" thickBot="1" x14ac:dyDescent="0.25">
      <c r="A29" t="s">
        <v>11</v>
      </c>
      <c r="B29" t="s">
        <v>8</v>
      </c>
      <c r="C29" t="s">
        <v>9</v>
      </c>
      <c r="D29" t="s">
        <v>10</v>
      </c>
      <c r="E29">
        <v>2</v>
      </c>
      <c r="F29">
        <v>15.42</v>
      </c>
      <c r="G29">
        <v>1.57</v>
      </c>
      <c r="H29" s="5">
        <f>G29/F29</f>
        <v>0.10181582360570687</v>
      </c>
      <c r="J29" s="16">
        <f>IF(A29="Male",0, 1)</f>
        <v>0</v>
      </c>
      <c r="K29" s="13">
        <f>IF(B29="No",0, 1)</f>
        <v>0</v>
      </c>
      <c r="L29" s="13">
        <f>IF(C29="Mon",1,IF(C29="Tues",2,IF(C29="Wed",3,IF(C29="Thur",4,IF(C29="Fri",5,IF(C29="Sat",6,7))))))</f>
        <v>7</v>
      </c>
      <c r="M29" s="13">
        <f>IF(D29="Lunch",0,1)</f>
        <v>1</v>
      </c>
      <c r="N29" s="13">
        <v>2</v>
      </c>
      <c r="O29" s="13">
        <v>10.59</v>
      </c>
      <c r="P29" s="13">
        <v>1.61</v>
      </c>
      <c r="Q29" s="15">
        <f>P29/O29</f>
        <v>0.15203021718602455</v>
      </c>
      <c r="R29" s="15">
        <f>AVERAGE(IF(A29="Female",GETPIVOTDATA("tip %",$W$26,"sex","Female"),GETPIVOTDATA("tip %",$W$26,"sex","Male")),IF(K29=0,GETPIVOTDATA("tip %",$AA$26,"smoker","No"),GETPIVOTDATA("tip %",$AA$26,"smoker","Yes")),IF(C29=$W$33,GETPIVOTDATA("tip %",$W$32,"day","Thur"),IF(C29=$W$34,GETPIVOTDATA("tip %",$W$32,"day","Fri"),IF(C29=$W$35,GETPIVOTDATA("tip %",$W$32,"day","Sat"),IF(C29=$W$36,GETPIVOTDATA("tip %",$W$32,"day","Sun"),GETPIVOTDATA("tip %",$W$32))))),IF(D29=$AE$27,GETPIVOTDATA("tip %",$AE$26,"time","Dinner"),GETPIVOTDATA("tip %",$AE$26,"time","Lunch")),IF(N29=$AA$33,GETPIVOTDATA("Average of tip %",$AA$32,"size",1),IF(N29=$AA$34,GETPIVOTDATA("Average of tip %",$AA$32,"size",2),IF(N29=$AA$35,GETPIVOTDATA("Average of tip %",$AA$32,"size",3),IF(N29=$AA$36,GETPIVOTDATA("Average of tip %",$AA$32,"size",4),IF(N29=$AA$37,GETPIVOTDATA("Average of tip %",$AA$32,"size",5),GETPIVOTDATA("Average of tip %",$AA$32,"size",6)))))))</f>
        <v>0.16182265520985073</v>
      </c>
      <c r="S29" s="14">
        <f t="shared" si="0"/>
        <v>3.0043163729662368</v>
      </c>
      <c r="T29" s="17">
        <f t="shared" si="1"/>
        <v>1.7137019186723192</v>
      </c>
      <c r="U29" s="12">
        <f t="shared" si="2"/>
        <v>2.3590091458192779</v>
      </c>
      <c r="W29" s="38" t="s">
        <v>43</v>
      </c>
      <c r="X29" s="39">
        <v>2.9982786885245898</v>
      </c>
      <c r="Y29" s="40">
        <v>0.16080258172250475</v>
      </c>
      <c r="AA29" s="38" t="s">
        <v>43</v>
      </c>
      <c r="AB29" s="39">
        <v>2.9982786885245893</v>
      </c>
      <c r="AC29" s="40">
        <v>0.16080258172250469</v>
      </c>
      <c r="AE29" s="38" t="s">
        <v>43</v>
      </c>
      <c r="AF29" s="39">
        <v>2.9982786885245907</v>
      </c>
      <c r="AG29" s="40">
        <v>0.16080258172250481</v>
      </c>
    </row>
    <row r="30" spans="1:33" ht="16" thickBot="1" x14ac:dyDescent="0.25">
      <c r="A30" t="s">
        <v>11</v>
      </c>
      <c r="B30" t="s">
        <v>22</v>
      </c>
      <c r="C30" t="s">
        <v>25</v>
      </c>
      <c r="D30" t="s">
        <v>24</v>
      </c>
      <c r="E30">
        <v>2</v>
      </c>
      <c r="F30">
        <v>13.42</v>
      </c>
      <c r="G30">
        <v>1.58</v>
      </c>
      <c r="H30" s="5">
        <f>G30/F30</f>
        <v>0.11773472429210134</v>
      </c>
      <c r="J30" s="16">
        <f>IF(A30="Male",0, 1)</f>
        <v>0</v>
      </c>
      <c r="K30" s="13">
        <f>IF(B30="No",0, 1)</f>
        <v>1</v>
      </c>
      <c r="L30" s="13">
        <f>IF(C30="Mon",1,IF(C30="Tues",2,IF(C30="Wed",3,IF(C30="Thur",4,IF(C30="Fri",5,IF(C30="Sat",6,7))))))</f>
        <v>5</v>
      </c>
      <c r="M30" s="13">
        <f>IF(D30="Lunch",0,1)</f>
        <v>0</v>
      </c>
      <c r="N30" s="13">
        <v>2</v>
      </c>
      <c r="O30" s="13">
        <v>10.63</v>
      </c>
      <c r="P30" s="13">
        <v>2</v>
      </c>
      <c r="Q30" s="15">
        <f>P30/O30</f>
        <v>0.18814675446848542</v>
      </c>
      <c r="R30" s="15">
        <f>AVERAGE(IF(A30="Female",GETPIVOTDATA("tip %",$W$26,"sex","Female"),GETPIVOTDATA("tip %",$W$26,"sex","Male")),IF(K30=0,GETPIVOTDATA("tip %",$AA$26,"smoker","No"),GETPIVOTDATA("tip %",$AA$26,"smoker","Yes")),IF(C30=$W$33,GETPIVOTDATA("tip %",$W$32,"day","Thur"),IF(C30=$W$34,GETPIVOTDATA("tip %",$W$32,"day","Fri"),IF(C30=$W$35,GETPIVOTDATA("tip %",$W$32,"day","Sat"),IF(C30=$W$36,GETPIVOTDATA("tip %",$W$32,"day","Sun"),GETPIVOTDATA("tip %",$W$32))))),IF(D30=$AE$27,GETPIVOTDATA("tip %",$AE$26,"time","Dinner"),GETPIVOTDATA("tip %",$AE$26,"time","Lunch")),IF(N30=$AA$33,GETPIVOTDATA("Average of tip %",$AA$32,"size",1),IF(N30=$AA$34,GETPIVOTDATA("Average of tip %",$AA$32,"size",2),IF(N30=$AA$35,GETPIVOTDATA("Average of tip %",$AA$32,"size",3),IF(N30=$AA$36,GETPIVOTDATA("Average of tip %",$AA$32,"size",4),IF(N30=$AA$37,GETPIVOTDATA("Average of tip %",$AA$32,"size",5),GETPIVOTDATA("Average of tip %",$AA$32,"size",6)))))))</f>
        <v>0.16412134805439765</v>
      </c>
      <c r="S30" s="14">
        <f t="shared" si="0"/>
        <v>2.8286920563042663</v>
      </c>
      <c r="T30" s="17">
        <f t="shared" si="1"/>
        <v>1.7446099298182471</v>
      </c>
      <c r="U30" s="12">
        <f t="shared" si="2"/>
        <v>2.2866509930612566</v>
      </c>
    </row>
    <row r="31" spans="1:33" x14ac:dyDescent="0.2">
      <c r="A31" t="s">
        <v>7</v>
      </c>
      <c r="B31" t="s">
        <v>22</v>
      </c>
      <c r="C31" t="s">
        <v>21</v>
      </c>
      <c r="D31" t="s">
        <v>10</v>
      </c>
      <c r="E31">
        <v>2</v>
      </c>
      <c r="F31">
        <v>10.59</v>
      </c>
      <c r="G31">
        <v>1.61</v>
      </c>
      <c r="H31" s="5">
        <f>G31/F31</f>
        <v>0.15203021718602455</v>
      </c>
      <c r="J31" s="16">
        <f>IF(A31="Male",0, 1)</f>
        <v>1</v>
      </c>
      <c r="K31" s="13">
        <f>IF(B31="No",0, 1)</f>
        <v>1</v>
      </c>
      <c r="L31" s="13">
        <f>IF(C31="Mon",1,IF(C31="Tues",2,IF(C31="Wed",3,IF(C31="Thur",4,IF(C31="Fri",5,IF(C31="Sat",6,7))))))</f>
        <v>6</v>
      </c>
      <c r="M31" s="13">
        <f>IF(D31="Lunch",0,1)</f>
        <v>1</v>
      </c>
      <c r="N31" s="13">
        <v>2</v>
      </c>
      <c r="O31" s="13">
        <v>10.65</v>
      </c>
      <c r="P31" s="13">
        <v>1.5</v>
      </c>
      <c r="Q31" s="15">
        <f>P31/O31</f>
        <v>0.14084507042253522</v>
      </c>
      <c r="R31" s="15">
        <f>AVERAGE(IF(A31="Female",GETPIVOTDATA("tip %",$W$26,"sex","Female"),GETPIVOTDATA("tip %",$W$26,"sex","Male")),IF(K31=0,GETPIVOTDATA("tip %",$AA$26,"smoker","No"),GETPIVOTDATA("tip %",$AA$26,"smoker","Yes")),IF(C31=$W$33,GETPIVOTDATA("tip %",$W$32,"day","Thur"),IF(C31=$W$34,GETPIVOTDATA("tip %",$W$32,"day","Fri"),IF(C31=$W$35,GETPIVOTDATA("tip %",$W$32,"day","Sat"),IF(C31=$W$36,GETPIVOTDATA("tip %",$W$32,"day","Sun"),GETPIVOTDATA("tip %",$W$32))))),IF(D31=$AE$27,GETPIVOTDATA("tip %",$AE$26,"time","Dinner"),GETPIVOTDATA("tip %",$AE$26,"time","Lunch")),IF(N31=$AA$33,GETPIVOTDATA("Average of tip %",$AA$32,"size",1),IF(N31=$AA$34,GETPIVOTDATA("Average of tip %",$AA$32,"size",2),IF(N31=$AA$35,GETPIVOTDATA("Average of tip %",$AA$32,"size",3),IF(N31=$AA$36,GETPIVOTDATA("Average of tip %",$AA$32,"size",4),IF(N31=$AA$37,GETPIVOTDATA("Average of tip %",$AA$32,"size",5),GETPIVOTDATA("Average of tip %",$AA$32,"size",6)))))))</f>
        <v>0.16161509557363743</v>
      </c>
      <c r="S31" s="14">
        <f t="shared" si="0"/>
        <v>2.9040479096820868</v>
      </c>
      <c r="T31" s="17">
        <f t="shared" si="1"/>
        <v>1.7212007678592387</v>
      </c>
      <c r="U31" s="12">
        <f t="shared" si="2"/>
        <v>2.3126243387706626</v>
      </c>
      <c r="W31" s="43" t="s">
        <v>52</v>
      </c>
      <c r="X31" s="44"/>
      <c r="Y31" s="45"/>
      <c r="AA31" s="43" t="s">
        <v>53</v>
      </c>
      <c r="AB31" s="44"/>
      <c r="AC31" s="44"/>
      <c r="AD31" s="45"/>
    </row>
    <row r="32" spans="1:33" x14ac:dyDescent="0.2">
      <c r="A32" t="s">
        <v>7</v>
      </c>
      <c r="B32" t="s">
        <v>8</v>
      </c>
      <c r="C32" t="s">
        <v>23</v>
      </c>
      <c r="D32" t="s">
        <v>24</v>
      </c>
      <c r="E32">
        <v>2</v>
      </c>
      <c r="F32">
        <v>11.87</v>
      </c>
      <c r="G32">
        <v>1.63</v>
      </c>
      <c r="H32" s="5">
        <f>G32/F32</f>
        <v>0.13732097725358045</v>
      </c>
      <c r="J32" s="16">
        <f>IF(A32="Male",0, 1)</f>
        <v>1</v>
      </c>
      <c r="K32" s="13">
        <f>IF(B32="No",0, 1)</f>
        <v>0</v>
      </c>
      <c r="L32" s="13">
        <f>IF(C32="Mon",1,IF(C32="Tues",2,IF(C32="Wed",3,IF(C32="Thur",4,IF(C32="Fri",5,IF(C32="Sat",6,7))))))</f>
        <v>4</v>
      </c>
      <c r="M32" s="13">
        <f>IF(D32="Lunch",0,1)</f>
        <v>0</v>
      </c>
      <c r="N32" s="13">
        <v>2</v>
      </c>
      <c r="O32" s="13">
        <v>10.77</v>
      </c>
      <c r="P32" s="13">
        <v>1.47</v>
      </c>
      <c r="Q32" s="15">
        <f>P32/O32</f>
        <v>0.13649025069637882</v>
      </c>
      <c r="R32" s="15">
        <f>AVERAGE(IF(A32="Female",GETPIVOTDATA("tip %",$W$26,"sex","Female"),GETPIVOTDATA("tip %",$W$26,"sex","Male")),IF(K32=0,GETPIVOTDATA("tip %",$AA$26,"smoker","No"),GETPIVOTDATA("tip %",$AA$26,"smoker","Yes")),IF(C32=$W$33,GETPIVOTDATA("tip %",$W$32,"day","Thur"),IF(C32=$W$34,GETPIVOTDATA("tip %",$W$32,"day","Fri"),IF(C32=$W$35,GETPIVOTDATA("tip %",$W$32,"day","Sat"),IF(C32=$W$36,GETPIVOTDATA("tip %",$W$32,"day","Sun"),GETPIVOTDATA("tip %",$W$32))))),IF(D32=$AE$27,GETPIVOTDATA("tip %",$AE$26,"time","Dinner"),GETPIVOTDATA("tip %",$AE$26,"time","Lunch")),IF(N32=$AA$33,GETPIVOTDATA("Average of tip %",$AA$32,"size",1),IF(N32=$AA$34,GETPIVOTDATA("Average of tip %",$AA$32,"size",2),IF(N32=$AA$35,GETPIVOTDATA("Average of tip %",$AA$32,"size",3),IF(N32=$AA$36,GETPIVOTDATA("Average of tip %",$AA$32,"size",4),IF(N32=$AA$37,GETPIVOTDATA("Average of tip %",$AA$32,"size",5),GETPIVOTDATA("Average of tip %",$AA$32,"size",6)))))))</f>
        <v>0.16338839047442422</v>
      </c>
      <c r="S32" s="14">
        <f t="shared" si="0"/>
        <v>2.7814300242005734</v>
      </c>
      <c r="T32" s="17">
        <f t="shared" si="1"/>
        <v>1.7596929654095488</v>
      </c>
      <c r="U32" s="12">
        <f t="shared" si="2"/>
        <v>2.2705614948050612</v>
      </c>
      <c r="W32" s="32" t="s">
        <v>42</v>
      </c>
      <c r="X32" s="8" t="s">
        <v>49</v>
      </c>
      <c r="Y32" s="33" t="s">
        <v>44</v>
      </c>
      <c r="AA32" s="32" t="s">
        <v>42</v>
      </c>
      <c r="AB32" s="8" t="s">
        <v>48</v>
      </c>
      <c r="AC32" s="29" t="s">
        <v>49</v>
      </c>
      <c r="AD32" s="33" t="s">
        <v>44</v>
      </c>
    </row>
    <row r="33" spans="1:30" x14ac:dyDescent="0.2">
      <c r="A33" t="s">
        <v>11</v>
      </c>
      <c r="B33" t="s">
        <v>22</v>
      </c>
      <c r="C33" t="s">
        <v>21</v>
      </c>
      <c r="D33" t="s">
        <v>10</v>
      </c>
      <c r="E33">
        <v>2</v>
      </c>
      <c r="F33">
        <v>15.36</v>
      </c>
      <c r="G33">
        <v>1.64</v>
      </c>
      <c r="H33" s="5">
        <f>G33/F33</f>
        <v>0.10677083333333333</v>
      </c>
      <c r="J33" s="16">
        <f>IF(A33="Male",0, 1)</f>
        <v>0</v>
      </c>
      <c r="K33" s="13">
        <f>IF(B33="No",0, 1)</f>
        <v>1</v>
      </c>
      <c r="L33" s="13">
        <f>IF(C33="Mon",1,IF(C33="Tues",2,IF(C33="Wed",3,IF(C33="Thur",4,IF(C33="Fri",5,IF(C33="Sat",6,7))))))</f>
        <v>6</v>
      </c>
      <c r="M33" s="13">
        <f>IF(D33="Lunch",0,1)</f>
        <v>1</v>
      </c>
      <c r="N33" s="13">
        <v>2</v>
      </c>
      <c r="O33" s="13">
        <v>11.02</v>
      </c>
      <c r="P33" s="13">
        <v>1.98</v>
      </c>
      <c r="Q33" s="15">
        <f>P33/O33</f>
        <v>0.17967332123411978</v>
      </c>
      <c r="R33" s="15">
        <f>AVERAGE(IF(A33="Female",GETPIVOTDATA("tip %",$W$26,"sex","Female"),GETPIVOTDATA("tip %",$W$26,"sex","Male")),IF(K33=0,GETPIVOTDATA("tip %",$AA$26,"smoker","No"),GETPIVOTDATA("tip %",$AA$26,"smoker","Yes")),IF(C33=$W$33,GETPIVOTDATA("tip %",$W$32,"day","Thur"),IF(C33=$W$34,GETPIVOTDATA("tip %",$W$32,"day","Fri"),IF(C33=$W$35,GETPIVOTDATA("tip %",$W$32,"day","Sat"),IF(C33=$W$36,GETPIVOTDATA("tip %",$W$32,"day","Sun"),GETPIVOTDATA("tip %",$W$32))))),IF(D33=$AE$27,GETPIVOTDATA("tip %",$AE$26,"time","Dinner"),GETPIVOTDATA("tip %",$AE$26,"time","Lunch")),IF(N33=$AA$33,GETPIVOTDATA("Average of tip %",$AA$32,"size",1),IF(N33=$AA$34,GETPIVOTDATA("Average of tip %",$AA$32,"size",2),IF(N33=$AA$35,GETPIVOTDATA("Average of tip %",$AA$32,"size",3),IF(N33=$AA$36,GETPIVOTDATA("Average of tip %",$AA$32,"size",4),IF(N33=$AA$37,GETPIVOTDATA("Average of tip %",$AA$32,"size",5),GETPIVOTDATA("Average of tip %",$AA$32,"size",6)))))))</f>
        <v>0.15984705770871196</v>
      </c>
      <c r="S33" s="14">
        <f t="shared" si="0"/>
        <v>2.9552818213886538</v>
      </c>
      <c r="T33" s="17">
        <f t="shared" si="1"/>
        <v>1.7615145759500057</v>
      </c>
      <c r="U33" s="12">
        <f t="shared" si="2"/>
        <v>2.3583981986693296</v>
      </c>
      <c r="W33" s="34" t="s">
        <v>23</v>
      </c>
      <c r="X33" s="27">
        <v>2.7714516129032254</v>
      </c>
      <c r="Y33" s="35">
        <v>0.1612756339666471</v>
      </c>
      <c r="AA33" s="34">
        <v>1</v>
      </c>
      <c r="AB33" s="27">
        <v>7.2424999999999997</v>
      </c>
      <c r="AC33" s="30">
        <v>1.4375</v>
      </c>
      <c r="AD33" s="35">
        <v>0.21729201548727811</v>
      </c>
    </row>
    <row r="34" spans="1:30" x14ac:dyDescent="0.2">
      <c r="A34" t="s">
        <v>11</v>
      </c>
      <c r="B34" t="s">
        <v>8</v>
      </c>
      <c r="C34" t="s">
        <v>9</v>
      </c>
      <c r="D34" t="s">
        <v>10</v>
      </c>
      <c r="E34">
        <v>3</v>
      </c>
      <c r="F34">
        <v>10.34</v>
      </c>
      <c r="G34">
        <v>1.66</v>
      </c>
      <c r="H34" s="5">
        <f>G34/F34</f>
        <v>0.16054158607350097</v>
      </c>
      <c r="J34" s="16">
        <f>IF(A34="Male",0, 1)</f>
        <v>0</v>
      </c>
      <c r="K34" s="13">
        <f>IF(B34="No",0, 1)</f>
        <v>0</v>
      </c>
      <c r="L34" s="13">
        <f>IF(C34="Mon",1,IF(C34="Tues",2,IF(C34="Wed",3,IF(C34="Thur",4,IF(C34="Fri",5,IF(C34="Sat",6,7))))))</f>
        <v>7</v>
      </c>
      <c r="M34" s="13">
        <f>IF(D34="Lunch",0,1)</f>
        <v>1</v>
      </c>
      <c r="N34" s="13">
        <v>2</v>
      </c>
      <c r="O34" s="13">
        <v>11.17</v>
      </c>
      <c r="P34" s="13">
        <v>1.5</v>
      </c>
      <c r="Q34" s="15">
        <f>P34/O34</f>
        <v>0.13428827215756492</v>
      </c>
      <c r="R34" s="15">
        <f>AVERAGE(IF(A34="Female",GETPIVOTDATA("tip %",$W$26,"sex","Female"),GETPIVOTDATA("tip %",$W$26,"sex","Male")),IF(K34=0,GETPIVOTDATA("tip %",$AA$26,"smoker","No"),GETPIVOTDATA("tip %",$AA$26,"smoker","Yes")),IF(C34=$W$33,GETPIVOTDATA("tip %",$W$32,"day","Thur"),IF(C34=$W$34,GETPIVOTDATA("tip %",$W$32,"day","Fri"),IF(C34=$W$35,GETPIVOTDATA("tip %",$W$32,"day","Sat"),IF(C34=$W$36,GETPIVOTDATA("tip %",$W$32,"day","Sun"),GETPIVOTDATA("tip %",$W$32))))),IF(D34=$AE$27,GETPIVOTDATA("tip %",$AE$26,"time","Dinner"),GETPIVOTDATA("tip %",$AE$26,"time","Lunch")),IF(N34=$AA$33,GETPIVOTDATA("Average of tip %",$AA$32,"size",1),IF(N34=$AA$34,GETPIVOTDATA("Average of tip %",$AA$32,"size",2),IF(N34=$AA$35,GETPIVOTDATA("Average of tip %",$AA$32,"size",3),IF(N34=$AA$36,GETPIVOTDATA("Average of tip %",$AA$32,"size",4),IF(N34=$AA$37,GETPIVOTDATA("Average of tip %",$AA$32,"size",5),GETPIVOTDATA("Average of tip %",$AA$32,"size",6)))))))</f>
        <v>0.16182265520985073</v>
      </c>
      <c r="S34" s="14">
        <f t="shared" si="0"/>
        <v>3.1664864134520667</v>
      </c>
      <c r="T34" s="17">
        <f t="shared" si="1"/>
        <v>1.8075590586940327</v>
      </c>
      <c r="U34" s="12">
        <f t="shared" si="2"/>
        <v>2.4870227360730497</v>
      </c>
      <c r="W34" s="36" t="s">
        <v>25</v>
      </c>
      <c r="X34" s="28">
        <v>2.7347368421052627</v>
      </c>
      <c r="Y34" s="37">
        <v>0.16991302873347888</v>
      </c>
      <c r="AA34" s="36">
        <v>2</v>
      </c>
      <c r="AB34" s="28">
        <v>16.448012820512815</v>
      </c>
      <c r="AC34" s="31">
        <v>2.5823076923076931</v>
      </c>
      <c r="AD34" s="37">
        <v>0.16571919173482891</v>
      </c>
    </row>
    <row r="35" spans="1:30" x14ac:dyDescent="0.2">
      <c r="A35" t="s">
        <v>7</v>
      </c>
      <c r="B35" t="s">
        <v>8</v>
      </c>
      <c r="C35" t="s">
        <v>9</v>
      </c>
      <c r="D35" t="s">
        <v>10</v>
      </c>
      <c r="E35">
        <v>3</v>
      </c>
      <c r="F35">
        <v>10.33</v>
      </c>
      <c r="G35">
        <v>1.67</v>
      </c>
      <c r="H35" s="5">
        <f>G35/F35</f>
        <v>0.16166505324298161</v>
      </c>
      <c r="J35" s="16">
        <f>IF(A35="Male",0, 1)</f>
        <v>1</v>
      </c>
      <c r="K35" s="13">
        <f>IF(B35="No",0, 1)</f>
        <v>0</v>
      </c>
      <c r="L35" s="13">
        <f>IF(C35="Mon",1,IF(C35="Tues",2,IF(C35="Wed",3,IF(C35="Thur",4,IF(C35="Fri",5,IF(C35="Sat",6,7))))))</f>
        <v>7</v>
      </c>
      <c r="M35" s="13">
        <f>IF(D35="Lunch",0,1)</f>
        <v>1</v>
      </c>
      <c r="N35" s="13">
        <v>2</v>
      </c>
      <c r="O35" s="13">
        <v>11.24</v>
      </c>
      <c r="P35" s="13">
        <v>1.76</v>
      </c>
      <c r="Q35" s="15">
        <f>P35/O35</f>
        <v>0.15658362989323843</v>
      </c>
      <c r="R35" s="15">
        <f>AVERAGE(IF(A35="Female",GETPIVOTDATA("tip %",$W$26,"sex","Female"),GETPIVOTDATA("tip %",$W$26,"sex","Male")),IF(K35=0,GETPIVOTDATA("tip %",$AA$26,"smoker","No"),GETPIVOTDATA("tip %",$AA$26,"smoker","Yes")),IF(C35=$W$33,GETPIVOTDATA("tip %",$W$32,"day","Thur"),IF(C35=$W$34,GETPIVOTDATA("tip %",$W$32,"day","Fri"),IF(C35=$W$35,GETPIVOTDATA("tip %",$W$32,"day","Sat"),IF(C35=$W$36,GETPIVOTDATA("tip %",$W$32,"day","Sun"),GETPIVOTDATA("tip %",$W$32))))),IF(D35=$AE$27,GETPIVOTDATA("tip %",$AE$26,"time","Dinner"),GETPIVOTDATA("tip %",$AE$26,"time","Lunch")),IF(N35=$AA$33,GETPIVOTDATA("Average of tip %",$AA$32,"size",1),IF(N35=$AA$34,GETPIVOTDATA("Average of tip %",$AA$32,"size",2),IF(N35=$AA$35,GETPIVOTDATA("Average of tip %",$AA$32,"size",3),IF(N35=$AA$36,GETPIVOTDATA("Average of tip %",$AA$32,"size",4),IF(N35=$AA$37,GETPIVOTDATA("Average of tip %",$AA$32,"size",5),GETPIVOTDATA("Average of tip %",$AA$32,"size",6)))))))</f>
        <v>0.16359069307477619</v>
      </c>
      <c r="S35" s="14">
        <f t="shared" si="0"/>
        <v>3.1152525017454993</v>
      </c>
      <c r="T35" s="17">
        <f t="shared" si="1"/>
        <v>1.8387593901604844</v>
      </c>
      <c r="U35" s="12">
        <f t="shared" si="2"/>
        <v>2.4770059459529916</v>
      </c>
      <c r="W35" s="36" t="s">
        <v>21</v>
      </c>
      <c r="X35" s="28">
        <v>2.9931034482758618</v>
      </c>
      <c r="Y35" s="37">
        <v>0.15315171638777816</v>
      </c>
      <c r="AA35" s="36">
        <v>3</v>
      </c>
      <c r="AB35" s="28">
        <v>23.277631578947368</v>
      </c>
      <c r="AC35" s="31">
        <v>3.3931578947368419</v>
      </c>
      <c r="AD35" s="37">
        <v>0.15215685473711832</v>
      </c>
    </row>
    <row r="36" spans="1:30" x14ac:dyDescent="0.2">
      <c r="A36" t="s">
        <v>7</v>
      </c>
      <c r="B36" t="s">
        <v>8</v>
      </c>
      <c r="C36" t="s">
        <v>23</v>
      </c>
      <c r="D36" t="s">
        <v>24</v>
      </c>
      <c r="E36">
        <v>2</v>
      </c>
      <c r="F36">
        <v>13.42</v>
      </c>
      <c r="G36">
        <v>1.68</v>
      </c>
      <c r="H36" s="5">
        <f>G36/F36</f>
        <v>0.12518628912071533</v>
      </c>
      <c r="J36" s="16">
        <f>IF(A36="Male",0, 1)</f>
        <v>1</v>
      </c>
      <c r="K36" s="13">
        <f>IF(B36="No",0, 1)</f>
        <v>0</v>
      </c>
      <c r="L36" s="13">
        <f>IF(C36="Mon",1,IF(C36="Tues",2,IF(C36="Wed",3,IF(C36="Thur",4,IF(C36="Fri",5,IF(C36="Sat",6,7))))))</f>
        <v>4</v>
      </c>
      <c r="M36" s="13">
        <f>IF(D36="Lunch",0,1)</f>
        <v>0</v>
      </c>
      <c r="N36" s="13">
        <v>2</v>
      </c>
      <c r="O36" s="13">
        <v>11.35</v>
      </c>
      <c r="P36" s="13">
        <v>2.5</v>
      </c>
      <c r="Q36" s="15">
        <f>P36/O36</f>
        <v>0.22026431718061676</v>
      </c>
      <c r="R36" s="15">
        <f>AVERAGE(IF(A36="Female",GETPIVOTDATA("tip %",$W$26,"sex","Female"),GETPIVOTDATA("tip %",$W$26,"sex","Male")),IF(K36=0,GETPIVOTDATA("tip %",$AA$26,"smoker","No"),GETPIVOTDATA("tip %",$AA$26,"smoker","Yes")),IF(C36=$W$33,GETPIVOTDATA("tip %",$W$32,"day","Thur"),IF(C36=$W$34,GETPIVOTDATA("tip %",$W$32,"day","Fri"),IF(C36=$W$35,GETPIVOTDATA("tip %",$W$32,"day","Sat"),IF(C36=$W$36,GETPIVOTDATA("tip %",$W$32,"day","Sun"),GETPIVOTDATA("tip %",$W$32))))),IF(D36=$AE$27,GETPIVOTDATA("tip %",$AE$26,"time","Dinner"),GETPIVOTDATA("tip %",$AE$26,"time","Lunch")),IF(N36=$AA$33,GETPIVOTDATA("Average of tip %",$AA$32,"size",1),IF(N36=$AA$34,GETPIVOTDATA("Average of tip %",$AA$32,"size",2),IF(N36=$AA$35,GETPIVOTDATA("Average of tip %",$AA$32,"size",3),IF(N36=$AA$36,GETPIVOTDATA("Average of tip %",$AA$32,"size",4),IF(N36=$AA$37,GETPIVOTDATA("Average of tip %",$AA$32,"size",5),GETPIVOTDATA("Average of tip %",$AA$32,"size",6)))))))</f>
        <v>0.16338839047442422</v>
      </c>
      <c r="S36" s="14">
        <f t="shared" si="0"/>
        <v>2.7814300242005734</v>
      </c>
      <c r="T36" s="17">
        <f t="shared" si="1"/>
        <v>1.8544582318847147</v>
      </c>
      <c r="U36" s="12">
        <f t="shared" si="2"/>
        <v>2.3179441280426438</v>
      </c>
      <c r="W36" s="36" t="s">
        <v>9</v>
      </c>
      <c r="X36" s="28">
        <v>3.2551315789473687</v>
      </c>
      <c r="Y36" s="37">
        <v>0.1668972863511346</v>
      </c>
      <c r="AA36" s="36">
        <v>4</v>
      </c>
      <c r="AB36" s="28">
        <v>28.613513513513503</v>
      </c>
      <c r="AC36" s="31">
        <v>4.1354054054054048</v>
      </c>
      <c r="AD36" s="37">
        <v>0.1459490063935133</v>
      </c>
    </row>
    <row r="37" spans="1:30" ht="16" thickBot="1" x14ac:dyDescent="0.25">
      <c r="A37" t="s">
        <v>11</v>
      </c>
      <c r="B37" t="s">
        <v>8</v>
      </c>
      <c r="C37" t="s">
        <v>9</v>
      </c>
      <c r="D37" t="s">
        <v>10</v>
      </c>
      <c r="E37">
        <v>2</v>
      </c>
      <c r="F37">
        <v>10.27</v>
      </c>
      <c r="G37">
        <v>1.71</v>
      </c>
      <c r="H37" s="5">
        <f>G37/F37</f>
        <v>0.1665043816942551</v>
      </c>
      <c r="J37" s="16">
        <f>IF(A37="Male",0, 1)</f>
        <v>0</v>
      </c>
      <c r="K37" s="13">
        <f>IF(B37="No",0, 1)</f>
        <v>0</v>
      </c>
      <c r="L37" s="13">
        <f>IF(C37="Mon",1,IF(C37="Tues",2,IF(C37="Wed",3,IF(C37="Thur",4,IF(C37="Fri",5,IF(C37="Sat",6,7))))))</f>
        <v>7</v>
      </c>
      <c r="M37" s="13">
        <f>IF(D37="Lunch",0,1)</f>
        <v>1</v>
      </c>
      <c r="N37" s="13">
        <v>2</v>
      </c>
      <c r="O37" s="13">
        <v>11.38</v>
      </c>
      <c r="P37" s="13">
        <v>2</v>
      </c>
      <c r="Q37" s="15">
        <f>P37/O37</f>
        <v>0.17574692442882248</v>
      </c>
      <c r="R37" s="15">
        <f>AVERAGE(IF(A37="Female",GETPIVOTDATA("tip %",$W$26,"sex","Female"),GETPIVOTDATA("tip %",$W$26,"sex","Male")),IF(K37=0,GETPIVOTDATA("tip %",$AA$26,"smoker","No"),GETPIVOTDATA("tip %",$AA$26,"smoker","Yes")),IF(C37=$W$33,GETPIVOTDATA("tip %",$W$32,"day","Thur"),IF(C37=$W$34,GETPIVOTDATA("tip %",$W$32,"day","Fri"),IF(C37=$W$35,GETPIVOTDATA("tip %",$W$32,"day","Sat"),IF(C37=$W$36,GETPIVOTDATA("tip %",$W$32,"day","Sun"),GETPIVOTDATA("tip %",$W$32))))),IF(D37=$AE$27,GETPIVOTDATA("tip %",$AE$26,"time","Dinner"),GETPIVOTDATA("tip %",$AE$26,"time","Lunch")),IF(N37=$AA$33,GETPIVOTDATA("Average of tip %",$AA$32,"size",1),IF(N37=$AA$34,GETPIVOTDATA("Average of tip %",$AA$32,"size",2),IF(N37=$AA$35,GETPIVOTDATA("Average of tip %",$AA$32,"size",3),IF(N37=$AA$36,GETPIVOTDATA("Average of tip %",$AA$32,"size",4),IF(N37=$AA$37,GETPIVOTDATA("Average of tip %",$AA$32,"size",5),GETPIVOTDATA("Average of tip %",$AA$32,"size",6)))))))</f>
        <v>0.16182265520985073</v>
      </c>
      <c r="S37" s="14">
        <f t="shared" si="0"/>
        <v>3.0043163729662368</v>
      </c>
      <c r="T37" s="17">
        <f t="shared" si="1"/>
        <v>1.8415418162881014</v>
      </c>
      <c r="U37" s="12">
        <f t="shared" si="2"/>
        <v>2.4229290946271691</v>
      </c>
      <c r="W37" s="38" t="s">
        <v>43</v>
      </c>
      <c r="X37" s="41">
        <v>2.9982786885245889</v>
      </c>
      <c r="Y37" s="40">
        <v>0.16080258172250464</v>
      </c>
      <c r="AA37" s="36">
        <v>5</v>
      </c>
      <c r="AB37" s="28">
        <v>30.068000000000001</v>
      </c>
      <c r="AC37" s="31">
        <v>4.0280000000000005</v>
      </c>
      <c r="AD37" s="37">
        <v>0.14149548965142025</v>
      </c>
    </row>
    <row r="38" spans="1:30" x14ac:dyDescent="0.2">
      <c r="A38" t="s">
        <v>11</v>
      </c>
      <c r="B38" t="s">
        <v>8</v>
      </c>
      <c r="C38" t="s">
        <v>23</v>
      </c>
      <c r="D38" t="s">
        <v>24</v>
      </c>
      <c r="E38">
        <v>2</v>
      </c>
      <c r="F38">
        <v>9.7799999999999994</v>
      </c>
      <c r="G38">
        <v>1.73</v>
      </c>
      <c r="H38" s="5">
        <f>G38/F38</f>
        <v>0.17689161554192229</v>
      </c>
      <c r="J38" s="16">
        <f>IF(A38="Male",0, 1)</f>
        <v>0</v>
      </c>
      <c r="K38" s="13">
        <f>IF(B38="No",0, 1)</f>
        <v>0</v>
      </c>
      <c r="L38" s="13">
        <f>IF(C38="Mon",1,IF(C38="Tues",2,IF(C38="Wed",3,IF(C38="Thur",4,IF(C38="Fri",5,IF(C38="Sat",6,7))))))</f>
        <v>4</v>
      </c>
      <c r="M38" s="13">
        <f>IF(D38="Lunch",0,1)</f>
        <v>0</v>
      </c>
      <c r="N38" s="13">
        <v>2</v>
      </c>
      <c r="O38" s="13">
        <v>11.59</v>
      </c>
      <c r="P38" s="13">
        <v>1.5</v>
      </c>
      <c r="Q38" s="15">
        <f>P38/O38</f>
        <v>0.12942191544434858</v>
      </c>
      <c r="R38" s="15">
        <f>AVERAGE(IF(A38="Female",GETPIVOTDATA("tip %",$W$26,"sex","Female"),GETPIVOTDATA("tip %",$W$26,"sex","Male")),IF(K38=0,GETPIVOTDATA("tip %",$AA$26,"smoker","No"),GETPIVOTDATA("tip %",$AA$26,"smoker","Yes")),IF(C38=$W$33,GETPIVOTDATA("tip %",$W$32,"day","Thur"),IF(C38=$W$34,GETPIVOTDATA("tip %",$W$32,"day","Fri"),IF(C38=$W$35,GETPIVOTDATA("tip %",$W$32,"day","Sat"),IF(C38=$W$36,GETPIVOTDATA("tip %",$W$32,"day","Sun"),GETPIVOTDATA("tip %",$W$32))))),IF(D38=$AE$27,GETPIVOTDATA("tip %",$AE$26,"time","Dinner"),GETPIVOTDATA("tip %",$AE$26,"time","Lunch")),IF(N38=$AA$33,GETPIVOTDATA("Average of tip %",$AA$32,"size",1),IF(N38=$AA$34,GETPIVOTDATA("Average of tip %",$AA$32,"size",2),IF(N38=$AA$35,GETPIVOTDATA("Average of tip %",$AA$32,"size",3),IF(N38=$AA$36,GETPIVOTDATA("Average of tip %",$AA$32,"size",4),IF(N38=$AA$37,GETPIVOTDATA("Average of tip %",$AA$32,"size",5),GETPIVOTDATA("Average of tip %",$AA$32,"size",6)))))))</f>
        <v>0.16162035260949875</v>
      </c>
      <c r="S38" s="14">
        <f t="shared" si="0"/>
        <v>2.8326639359071408</v>
      </c>
      <c r="T38" s="17">
        <f t="shared" si="1"/>
        <v>1.8731798867440905</v>
      </c>
      <c r="U38" s="12">
        <f t="shared" si="2"/>
        <v>2.3529219113256157</v>
      </c>
      <c r="AA38" s="36">
        <v>6</v>
      </c>
      <c r="AB38" s="28">
        <v>34.83</v>
      </c>
      <c r="AC38" s="31">
        <v>5.2249999999999996</v>
      </c>
      <c r="AD38" s="37">
        <v>0.15622920072028382</v>
      </c>
    </row>
    <row r="39" spans="1:30" ht="16" thickBot="1" x14ac:dyDescent="0.25">
      <c r="A39" t="s">
        <v>11</v>
      </c>
      <c r="B39" t="s">
        <v>8</v>
      </c>
      <c r="C39" t="s">
        <v>21</v>
      </c>
      <c r="D39" t="s">
        <v>10</v>
      </c>
      <c r="E39">
        <v>2</v>
      </c>
      <c r="F39">
        <v>17.82</v>
      </c>
      <c r="G39">
        <v>1.75</v>
      </c>
      <c r="H39" s="5">
        <f>G39/F39</f>
        <v>9.8204264870931535E-2</v>
      </c>
      <c r="J39" s="16">
        <f>IF(A39="Male",0, 1)</f>
        <v>0</v>
      </c>
      <c r="K39" s="13">
        <f>IF(B39="No",0, 1)</f>
        <v>0</v>
      </c>
      <c r="L39" s="13">
        <f>IF(C39="Mon",1,IF(C39="Tues",2,IF(C39="Wed",3,IF(C39="Thur",4,IF(C39="Fri",5,IF(C39="Sat",6,7))))))</f>
        <v>6</v>
      </c>
      <c r="M39" s="13">
        <f>IF(D39="Lunch",0,1)</f>
        <v>1</v>
      </c>
      <c r="N39" s="13">
        <v>2</v>
      </c>
      <c r="O39" s="13">
        <v>11.61</v>
      </c>
      <c r="P39" s="13">
        <v>3.39</v>
      </c>
      <c r="Q39" s="15">
        <f>P39/O39</f>
        <v>0.29198966408268734</v>
      </c>
      <c r="R39" s="15">
        <f>AVERAGE(IF(A39="Female",GETPIVOTDATA("tip %",$W$26,"sex","Female"),GETPIVOTDATA("tip %",$W$26,"sex","Male")),IF(K39=0,GETPIVOTDATA("tip %",$AA$26,"smoker","No"),GETPIVOTDATA("tip %",$AA$26,"smoker","Yes")),IF(C39=$W$33,GETPIVOTDATA("tip %",$W$32,"day","Thur"),IF(C39=$W$34,GETPIVOTDATA("tip %",$W$32,"day","Fri"),IF(C39=$W$35,GETPIVOTDATA("tip %",$W$32,"day","Sat"),IF(C39=$W$36,GETPIVOTDATA("tip %",$W$32,"day","Sun"),GETPIVOTDATA("tip %",$W$32))))),IF(D39=$AE$27,GETPIVOTDATA("tip %",$AE$26,"time","Dinner"),GETPIVOTDATA("tip %",$AE$26,"time","Lunch")),IF(N39=$AA$33,GETPIVOTDATA("Average of tip %",$AA$32,"size",1),IF(N39=$AA$34,GETPIVOTDATA("Average of tip %",$AA$32,"size",2),IF(N39=$AA$35,GETPIVOTDATA("Average of tip %",$AA$32,"size",3),IF(N39=$AA$36,GETPIVOTDATA("Average of tip %",$AA$32,"size",4),IF(N39=$AA$37,GETPIVOTDATA("Average of tip %",$AA$32,"size",5),GETPIVOTDATA("Average of tip %",$AA$32,"size",6)))))))</f>
        <v>0.15907354121717945</v>
      </c>
      <c r="S39" s="14">
        <f t="shared" si="0"/>
        <v>2.9519107468319357</v>
      </c>
      <c r="T39" s="17">
        <f t="shared" si="1"/>
        <v>1.8468438135314533</v>
      </c>
      <c r="U39" s="12">
        <f t="shared" si="2"/>
        <v>2.3993772801816946</v>
      </c>
      <c r="AA39" s="38" t="s">
        <v>43</v>
      </c>
      <c r="AB39" s="41">
        <v>19.785942622950824</v>
      </c>
      <c r="AC39" s="42">
        <v>2.998278688524592</v>
      </c>
      <c r="AD39" s="40">
        <v>0.16080258172250472</v>
      </c>
    </row>
    <row r="40" spans="1:30" x14ac:dyDescent="0.2">
      <c r="A40" t="s">
        <v>11</v>
      </c>
      <c r="B40" t="s">
        <v>22</v>
      </c>
      <c r="C40" t="s">
        <v>21</v>
      </c>
      <c r="D40" t="s">
        <v>10</v>
      </c>
      <c r="E40">
        <v>2</v>
      </c>
      <c r="F40">
        <v>11.24</v>
      </c>
      <c r="G40">
        <v>1.76</v>
      </c>
      <c r="H40" s="5">
        <f>G40/F40</f>
        <v>0.15658362989323843</v>
      </c>
      <c r="J40" s="16">
        <f>IF(A40="Male",0, 1)</f>
        <v>0</v>
      </c>
      <c r="K40" s="13">
        <f>IF(B40="No",0, 1)</f>
        <v>1</v>
      </c>
      <c r="L40" s="13">
        <f>IF(C40="Mon",1,IF(C40="Tues",2,IF(C40="Wed",3,IF(C40="Thur",4,IF(C40="Fri",5,IF(C40="Sat",6,7))))))</f>
        <v>6</v>
      </c>
      <c r="M40" s="13">
        <f>IF(D40="Lunch",0,1)</f>
        <v>1</v>
      </c>
      <c r="N40" s="13">
        <v>2</v>
      </c>
      <c r="O40" s="13">
        <v>11.69</v>
      </c>
      <c r="P40" s="13">
        <v>2.31</v>
      </c>
      <c r="Q40" s="15">
        <f>P40/O40</f>
        <v>0.19760479041916168</v>
      </c>
      <c r="R40" s="15">
        <f>AVERAGE(IF(A40="Female",GETPIVOTDATA("tip %",$W$26,"sex","Female"),GETPIVOTDATA("tip %",$W$26,"sex","Male")),IF(K40=0,GETPIVOTDATA("tip %",$AA$26,"smoker","No"),GETPIVOTDATA("tip %",$AA$26,"smoker","Yes")),IF(C40=$W$33,GETPIVOTDATA("tip %",$W$32,"day","Thur"),IF(C40=$W$34,GETPIVOTDATA("tip %",$W$32,"day","Fri"),IF(C40=$W$35,GETPIVOTDATA("tip %",$W$32,"day","Sat"),IF(C40=$W$36,GETPIVOTDATA("tip %",$W$32,"day","Sun"),GETPIVOTDATA("tip %",$W$32))))),IF(D40=$AE$27,GETPIVOTDATA("tip %",$AE$26,"time","Dinner"),GETPIVOTDATA("tip %",$AE$26,"time","Lunch")),IF(N40=$AA$33,GETPIVOTDATA("Average of tip %",$AA$32,"size",1),IF(N40=$AA$34,GETPIVOTDATA("Average of tip %",$AA$32,"size",2),IF(N40=$AA$35,GETPIVOTDATA("Average of tip %",$AA$32,"size",3),IF(N40=$AA$36,GETPIVOTDATA("Average of tip %",$AA$32,"size",4),IF(N40=$AA$37,GETPIVOTDATA("Average of tip %",$AA$32,"size",5),GETPIVOTDATA("Average of tip %",$AA$32,"size",6)))))))</f>
        <v>0.15984705770871196</v>
      </c>
      <c r="S40" s="14">
        <f t="shared" si="0"/>
        <v>2.9552818213886538</v>
      </c>
      <c r="T40" s="17">
        <f t="shared" si="1"/>
        <v>1.8686121046148427</v>
      </c>
      <c r="U40" s="12">
        <f t="shared" si="2"/>
        <v>2.411946963001748</v>
      </c>
      <c r="V40">
        <v>6</v>
      </c>
      <c r="W40" t="s">
        <v>31</v>
      </c>
    </row>
    <row r="41" spans="1:30" x14ac:dyDescent="0.2">
      <c r="A41" t="s">
        <v>7</v>
      </c>
      <c r="B41" t="s">
        <v>8</v>
      </c>
      <c r="C41" t="s">
        <v>23</v>
      </c>
      <c r="D41" t="s">
        <v>24</v>
      </c>
      <c r="E41">
        <v>2</v>
      </c>
      <c r="F41">
        <v>12.43</v>
      </c>
      <c r="G41">
        <v>1.8</v>
      </c>
      <c r="H41" s="5">
        <f>G41/F41</f>
        <v>0.14481094127111827</v>
      </c>
      <c r="J41" s="16">
        <f>IF(A41="Male",0, 1)</f>
        <v>1</v>
      </c>
      <c r="K41" s="13">
        <f>IF(B41="No",0, 1)</f>
        <v>0</v>
      </c>
      <c r="L41" s="13">
        <f>IF(C41="Mon",1,IF(C41="Tues",2,IF(C41="Wed",3,IF(C41="Thur",4,IF(C41="Fri",5,IF(C41="Sat",6,7))))))</f>
        <v>4</v>
      </c>
      <c r="M41" s="13">
        <f>IF(D41="Lunch",0,1)</f>
        <v>0</v>
      </c>
      <c r="N41" s="13">
        <v>2</v>
      </c>
      <c r="O41" s="13">
        <v>11.87</v>
      </c>
      <c r="P41" s="13">
        <v>1.63</v>
      </c>
      <c r="Q41" s="15">
        <f>P41/O41</f>
        <v>0.13732097725358045</v>
      </c>
      <c r="R41" s="15">
        <f>AVERAGE(IF(A41="Female",GETPIVOTDATA("tip %",$W$26,"sex","Female"),GETPIVOTDATA("tip %",$W$26,"sex","Male")),IF(K41=0,GETPIVOTDATA("tip %",$AA$26,"smoker","No"),GETPIVOTDATA("tip %",$AA$26,"smoker","Yes")),IF(C41=$W$33,GETPIVOTDATA("tip %",$W$32,"day","Thur"),IF(C41=$W$34,GETPIVOTDATA("tip %",$W$32,"day","Fri"),IF(C41=$W$35,GETPIVOTDATA("tip %",$W$32,"day","Sat"),IF(C41=$W$36,GETPIVOTDATA("tip %",$W$32,"day","Sun"),GETPIVOTDATA("tip %",$W$32))))),IF(D41=$AE$27,GETPIVOTDATA("tip %",$AE$26,"time","Dinner"),GETPIVOTDATA("tip %",$AE$26,"time","Lunch")),IF(N41=$AA$33,GETPIVOTDATA("Average of tip %",$AA$32,"size",1),IF(N41=$AA$34,GETPIVOTDATA("Average of tip %",$AA$32,"size",2),IF(N41=$AA$35,GETPIVOTDATA("Average of tip %",$AA$32,"size",3),IF(N41=$AA$36,GETPIVOTDATA("Average of tip %",$AA$32,"size",4),IF(N41=$AA$37,GETPIVOTDATA("Average of tip %",$AA$32,"size",5),GETPIVOTDATA("Average of tip %",$AA$32,"size",6)))))))</f>
        <v>0.16338839047442422</v>
      </c>
      <c r="S41" s="14">
        <f t="shared" si="0"/>
        <v>2.7814300242005734</v>
      </c>
      <c r="T41" s="17">
        <f t="shared" si="1"/>
        <v>1.9394201949314154</v>
      </c>
      <c r="U41" s="12">
        <f t="shared" si="2"/>
        <v>2.3604251095659943</v>
      </c>
      <c r="W41" t="s">
        <v>62</v>
      </c>
    </row>
    <row r="42" spans="1:30" x14ac:dyDescent="0.2">
      <c r="A42" t="s">
        <v>7</v>
      </c>
      <c r="B42" t="s">
        <v>8</v>
      </c>
      <c r="C42" t="s">
        <v>23</v>
      </c>
      <c r="D42" t="s">
        <v>24</v>
      </c>
      <c r="E42">
        <v>1</v>
      </c>
      <c r="F42">
        <v>10.07</v>
      </c>
      <c r="G42">
        <v>1.83</v>
      </c>
      <c r="H42" s="5">
        <f>G42/F42</f>
        <v>0.18172790466732869</v>
      </c>
      <c r="J42" s="16">
        <f>IF(A42="Male",0, 1)</f>
        <v>1</v>
      </c>
      <c r="K42" s="13">
        <f>IF(B42="No",0, 1)</f>
        <v>0</v>
      </c>
      <c r="L42" s="13">
        <f>IF(C42="Mon",1,IF(C42="Tues",2,IF(C42="Wed",3,IF(C42="Thur",4,IF(C42="Fri",5,IF(C42="Sat",6,7))))))</f>
        <v>4</v>
      </c>
      <c r="M42" s="13">
        <f>IF(D42="Lunch",0,1)</f>
        <v>0</v>
      </c>
      <c r="N42" s="13">
        <v>2</v>
      </c>
      <c r="O42" s="13">
        <v>12.02</v>
      </c>
      <c r="P42" s="13">
        <v>1.97</v>
      </c>
      <c r="Q42" s="15">
        <f>P42/O42</f>
        <v>0.16389351081530781</v>
      </c>
      <c r="R42" s="15">
        <f>AVERAGE(IF(A42="Female",GETPIVOTDATA("tip %",$W$26,"sex","Female"),GETPIVOTDATA("tip %",$W$26,"sex","Male")),IF(K42=0,GETPIVOTDATA("tip %",$AA$26,"smoker","No"),GETPIVOTDATA("tip %",$AA$26,"smoker","Yes")),IF(C42=$W$33,GETPIVOTDATA("tip %",$W$32,"day","Thur"),IF(C42=$W$34,GETPIVOTDATA("tip %",$W$32,"day","Fri"),IF(C42=$W$35,GETPIVOTDATA("tip %",$W$32,"day","Sat"),IF(C42=$W$36,GETPIVOTDATA("tip %",$W$32,"day","Sun"),GETPIVOTDATA("tip %",$W$32))))),IF(D42=$AE$27,GETPIVOTDATA("tip %",$AE$26,"time","Dinner"),GETPIVOTDATA("tip %",$AE$26,"time","Lunch")),IF(N42=$AA$33,GETPIVOTDATA("Average of tip %",$AA$32,"size",1),IF(N42=$AA$34,GETPIVOTDATA("Average of tip %",$AA$32,"size",2),IF(N42=$AA$35,GETPIVOTDATA("Average of tip %",$AA$32,"size",3),IF(N42=$AA$36,GETPIVOTDATA("Average of tip %",$AA$32,"size",4),IF(N42=$AA$37,GETPIVOTDATA("Average of tip %",$AA$32,"size",5),GETPIVOTDATA("Average of tip %",$AA$32,"size",6)))))))</f>
        <v>0.16338839047442422</v>
      </c>
      <c r="S42" s="14">
        <f t="shared" si="0"/>
        <v>2.552468485739035</v>
      </c>
      <c r="T42" s="17">
        <f t="shared" si="1"/>
        <v>1.9639284535025789</v>
      </c>
      <c r="U42" s="12">
        <f t="shared" si="2"/>
        <v>2.2581984696208068</v>
      </c>
      <c r="W42" t="s">
        <v>63</v>
      </c>
    </row>
    <row r="43" spans="1:30" x14ac:dyDescent="0.2">
      <c r="A43" t="s">
        <v>11</v>
      </c>
      <c r="B43" t="s">
        <v>22</v>
      </c>
      <c r="C43" t="s">
        <v>25</v>
      </c>
      <c r="D43" t="s">
        <v>24</v>
      </c>
      <c r="E43">
        <v>1</v>
      </c>
      <c r="F43">
        <v>8.58</v>
      </c>
      <c r="G43">
        <v>1.92</v>
      </c>
      <c r="H43" s="5">
        <f>G43/F43</f>
        <v>0.22377622377622378</v>
      </c>
      <c r="J43" s="16">
        <f>IF(A43="Male",0, 1)</f>
        <v>0</v>
      </c>
      <c r="K43" s="13">
        <f>IF(B43="No",0, 1)</f>
        <v>1</v>
      </c>
      <c r="L43" s="13">
        <f>IF(C43="Mon",1,IF(C43="Tues",2,IF(C43="Wed",3,IF(C43="Thur",4,IF(C43="Fri",5,IF(C43="Sat",6,7))))))</f>
        <v>5</v>
      </c>
      <c r="M43" s="13">
        <f>IF(D43="Lunch",0,1)</f>
        <v>0</v>
      </c>
      <c r="N43" s="13">
        <v>2</v>
      </c>
      <c r="O43" s="13">
        <v>12.03</v>
      </c>
      <c r="P43" s="13">
        <v>1.5</v>
      </c>
      <c r="Q43" s="15">
        <f>P43/O43</f>
        <v>0.12468827930174564</v>
      </c>
      <c r="R43" s="15">
        <f>AVERAGE(IF(A43="Female",GETPIVOTDATA("tip %",$W$26,"sex","Female"),GETPIVOTDATA("tip %",$W$26,"sex","Male")),IF(K43=0,GETPIVOTDATA("tip %",$AA$26,"smoker","No"),GETPIVOTDATA("tip %",$AA$26,"smoker","Yes")),IF(C43=$W$33,GETPIVOTDATA("tip %",$W$32,"day","Thur"),IF(C43=$W$34,GETPIVOTDATA("tip %",$W$32,"day","Fri"),IF(C43=$W$35,GETPIVOTDATA("tip %",$W$32,"day","Sat"),IF(C43=$W$36,GETPIVOTDATA("tip %",$W$32,"day","Sun"),GETPIVOTDATA("tip %",$W$32))))),IF(D43=$AE$27,GETPIVOTDATA("tip %",$AE$26,"time","Dinner"),GETPIVOTDATA("tip %",$AE$26,"time","Lunch")),IF(N43=$AA$33,GETPIVOTDATA("Average of tip %",$AA$32,"size",1),IF(N43=$AA$34,GETPIVOTDATA("Average of tip %",$AA$32,"size",2),IF(N43=$AA$35,GETPIVOTDATA("Average of tip %",$AA$32,"size",3),IF(N43=$AA$36,GETPIVOTDATA("Average of tip %",$AA$32,"size",4),IF(N43=$AA$37,GETPIVOTDATA("Average of tip %",$AA$32,"size",5),GETPIVOTDATA("Average of tip %",$AA$32,"size",6)))))))</f>
        <v>0.16412134805439765</v>
      </c>
      <c r="S43" s="14">
        <f t="shared" si="0"/>
        <v>2.5997305178427279</v>
      </c>
      <c r="T43" s="17">
        <f t="shared" si="1"/>
        <v>1.9743798170944036</v>
      </c>
      <c r="U43" s="12">
        <f t="shared" si="2"/>
        <v>2.2870551674685657</v>
      </c>
      <c r="W43" t="s">
        <v>64</v>
      </c>
    </row>
    <row r="44" spans="1:30" x14ac:dyDescent="0.2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15.04</v>
      </c>
      <c r="G44">
        <v>1.96</v>
      </c>
      <c r="H44" s="5">
        <f>G44/F44</f>
        <v>0.13031914893617022</v>
      </c>
      <c r="J44" s="16">
        <f>IF(A44="Male",0, 1)</f>
        <v>0</v>
      </c>
      <c r="K44" s="13">
        <f>IF(B44="No",0, 1)</f>
        <v>0</v>
      </c>
      <c r="L44" s="13">
        <f>IF(C44="Mon",1,IF(C44="Tues",2,IF(C44="Wed",3,IF(C44="Thur",4,IF(C44="Fri",5,IF(C44="Sat",6,7))))))</f>
        <v>7</v>
      </c>
      <c r="M44" s="13">
        <f>IF(D44="Lunch",0,1)</f>
        <v>1</v>
      </c>
      <c r="N44" s="13">
        <v>2</v>
      </c>
      <c r="O44" s="13">
        <v>12.16</v>
      </c>
      <c r="P44" s="13">
        <v>2.2000000000000002</v>
      </c>
      <c r="Q44" s="15">
        <f>P44/O44</f>
        <v>0.18092105263157895</v>
      </c>
      <c r="R44" s="15">
        <f>AVERAGE(IF(A44="Female",GETPIVOTDATA("tip %",$W$26,"sex","Female"),GETPIVOTDATA("tip %",$W$26,"sex","Male")),IF(K44=0,GETPIVOTDATA("tip %",$AA$26,"smoker","No"),GETPIVOTDATA("tip %",$AA$26,"smoker","Yes")),IF(C44=$W$33,GETPIVOTDATA("tip %",$W$32,"day","Thur"),IF(C44=$W$34,GETPIVOTDATA("tip %",$W$32,"day","Fri"),IF(C44=$W$35,GETPIVOTDATA("tip %",$W$32,"day","Sat"),IF(C44=$W$36,GETPIVOTDATA("tip %",$W$32,"day","Sun"),GETPIVOTDATA("tip %",$W$32))))),IF(D44=$AE$27,GETPIVOTDATA("tip %",$AE$26,"time","Dinner"),GETPIVOTDATA("tip %",$AE$26,"time","Lunch")),IF(N44=$AA$33,GETPIVOTDATA("Average of tip %",$AA$32,"size",1),IF(N44=$AA$34,GETPIVOTDATA("Average of tip %",$AA$32,"size",2),IF(N44=$AA$35,GETPIVOTDATA("Average of tip %",$AA$32,"size",3),IF(N44=$AA$36,GETPIVOTDATA("Average of tip %",$AA$32,"size",4),IF(N44=$AA$37,GETPIVOTDATA("Average of tip %",$AA$32,"size",5),GETPIVOTDATA("Average of tip %",$AA$32,"size",6)))))))</f>
        <v>0.16182265520985073</v>
      </c>
      <c r="S44" s="14">
        <f t="shared" si="0"/>
        <v>3.0043163729662368</v>
      </c>
      <c r="T44" s="17">
        <f t="shared" si="1"/>
        <v>1.9677634873517849</v>
      </c>
      <c r="U44" s="12">
        <f t="shared" si="2"/>
        <v>2.486039930159011</v>
      </c>
      <c r="W44" t="s">
        <v>65</v>
      </c>
    </row>
    <row r="45" spans="1:30" x14ac:dyDescent="0.2">
      <c r="A45" t="s">
        <v>11</v>
      </c>
      <c r="B45" t="s">
        <v>8</v>
      </c>
      <c r="C45" t="s">
        <v>21</v>
      </c>
      <c r="D45" t="s">
        <v>10</v>
      </c>
      <c r="E45">
        <v>2</v>
      </c>
      <c r="F45">
        <v>12.02</v>
      </c>
      <c r="G45">
        <v>1.97</v>
      </c>
      <c r="H45" s="5">
        <f>G45/F45</f>
        <v>0.16389351081530781</v>
      </c>
      <c r="J45" s="16">
        <f>IF(A45="Male",0, 1)</f>
        <v>0</v>
      </c>
      <c r="K45" s="13">
        <f>IF(B45="No",0, 1)</f>
        <v>0</v>
      </c>
      <c r="L45" s="13">
        <f>IF(C45="Mon",1,IF(C45="Tues",2,IF(C45="Wed",3,IF(C45="Thur",4,IF(C45="Fri",5,IF(C45="Sat",6,7))))))</f>
        <v>6</v>
      </c>
      <c r="M45" s="13">
        <f>IF(D45="Lunch",0,1)</f>
        <v>1</v>
      </c>
      <c r="N45" s="13">
        <v>2</v>
      </c>
      <c r="O45" s="13">
        <v>12.26</v>
      </c>
      <c r="P45" s="13">
        <v>2</v>
      </c>
      <c r="Q45" s="15">
        <f>P45/O45</f>
        <v>0.16313213703099511</v>
      </c>
      <c r="R45" s="15">
        <f>AVERAGE(IF(A45="Female",GETPIVOTDATA("tip %",$W$26,"sex","Female"),GETPIVOTDATA("tip %",$W$26,"sex","Male")),IF(K45=0,GETPIVOTDATA("tip %",$AA$26,"smoker","No"),GETPIVOTDATA("tip %",$AA$26,"smoker","Yes")),IF(C45=$W$33,GETPIVOTDATA("tip %",$W$32,"day","Thur"),IF(C45=$W$34,GETPIVOTDATA("tip %",$W$32,"day","Fri"),IF(C45=$W$35,GETPIVOTDATA("tip %",$W$32,"day","Sat"),IF(C45=$W$36,GETPIVOTDATA("tip %",$W$32,"day","Sun"),GETPIVOTDATA("tip %",$W$32))))),IF(D45=$AE$27,GETPIVOTDATA("tip %",$AE$26,"time","Dinner"),GETPIVOTDATA("tip %",$AE$26,"time","Lunch")),IF(N45=$AA$33,GETPIVOTDATA("Average of tip %",$AA$32,"size",1),IF(N45=$AA$34,GETPIVOTDATA("Average of tip %",$AA$32,"size",2),IF(N45=$AA$35,GETPIVOTDATA("Average of tip %",$AA$32,"size",3),IF(N45=$AA$36,GETPIVOTDATA("Average of tip %",$AA$32,"size",4),IF(N45=$AA$37,GETPIVOTDATA("Average of tip %",$AA$32,"size",5),GETPIVOTDATA("Average of tip %",$AA$32,"size",6)))))))</f>
        <v>0.15907354121717945</v>
      </c>
      <c r="S45" s="14">
        <f t="shared" si="0"/>
        <v>2.9519107468319357</v>
      </c>
      <c r="T45" s="17">
        <f t="shared" si="1"/>
        <v>1.9502416153226201</v>
      </c>
      <c r="U45" s="12">
        <f t="shared" si="2"/>
        <v>2.4510761810772781</v>
      </c>
      <c r="AB45" t="s">
        <v>70</v>
      </c>
    </row>
    <row r="46" spans="1:30" x14ac:dyDescent="0.2">
      <c r="A46" t="s">
        <v>11</v>
      </c>
      <c r="B46" t="s">
        <v>22</v>
      </c>
      <c r="C46" t="s">
        <v>21</v>
      </c>
      <c r="D46" t="s">
        <v>10</v>
      </c>
      <c r="E46">
        <v>2</v>
      </c>
      <c r="F46">
        <v>11.02</v>
      </c>
      <c r="G46">
        <v>1.98</v>
      </c>
      <c r="H46" s="5">
        <f>G46/F46</f>
        <v>0.17967332123411978</v>
      </c>
      <c r="J46" s="16">
        <f>IF(A46="Male",0, 1)</f>
        <v>0</v>
      </c>
      <c r="K46" s="13">
        <f>IF(B46="No",0, 1)</f>
        <v>1</v>
      </c>
      <c r="L46" s="13">
        <f>IF(C46="Mon",1,IF(C46="Tues",2,IF(C46="Wed",3,IF(C46="Thur",4,IF(C46="Fri",5,IF(C46="Sat",6,7))))))</f>
        <v>6</v>
      </c>
      <c r="M46" s="13">
        <f>IF(D46="Lunch",0,1)</f>
        <v>1</v>
      </c>
      <c r="N46" s="13">
        <v>2</v>
      </c>
      <c r="O46" s="13">
        <v>12.43</v>
      </c>
      <c r="P46" s="13">
        <v>1.8</v>
      </c>
      <c r="Q46" s="15">
        <f>P46/O46</f>
        <v>0.14481094127111827</v>
      </c>
      <c r="R46" s="15">
        <f>AVERAGE(IF(A46="Female",GETPIVOTDATA("tip %",$W$26,"sex","Female"),GETPIVOTDATA("tip %",$W$26,"sex","Male")),IF(K46=0,GETPIVOTDATA("tip %",$AA$26,"smoker","No"),GETPIVOTDATA("tip %",$AA$26,"smoker","Yes")),IF(C46=$W$33,GETPIVOTDATA("tip %",$W$32,"day","Thur"),IF(C46=$W$34,GETPIVOTDATA("tip %",$W$32,"day","Fri"),IF(C46=$W$35,GETPIVOTDATA("tip %",$W$32,"day","Sat"),IF(C46=$W$36,GETPIVOTDATA("tip %",$W$32,"day","Sun"),GETPIVOTDATA("tip %",$W$32))))),IF(D46=$AE$27,GETPIVOTDATA("tip %",$AE$26,"time","Dinner"),GETPIVOTDATA("tip %",$AE$26,"time","Lunch")),IF(N46=$AA$33,GETPIVOTDATA("Average of tip %",$AA$32,"size",1),IF(N46=$AA$34,GETPIVOTDATA("Average of tip %",$AA$32,"size",2),IF(N46=$AA$35,GETPIVOTDATA("Average of tip %",$AA$32,"size",3),IF(N46=$AA$36,GETPIVOTDATA("Average of tip %",$AA$32,"size",4),IF(N46=$AA$37,GETPIVOTDATA("Average of tip %",$AA$32,"size",5),GETPIVOTDATA("Average of tip %",$AA$32,"size",6)))))))</f>
        <v>0.15984705770871196</v>
      </c>
      <c r="S46" s="14">
        <f t="shared" si="0"/>
        <v>2.9552818213886538</v>
      </c>
      <c r="T46" s="17">
        <f t="shared" si="1"/>
        <v>1.9868989273192896</v>
      </c>
      <c r="U46" s="12">
        <f t="shared" si="2"/>
        <v>2.4710903743539716</v>
      </c>
      <c r="AB46" t="s">
        <v>71</v>
      </c>
    </row>
    <row r="47" spans="1:30" x14ac:dyDescent="0.2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8.77</v>
      </c>
      <c r="G47">
        <v>2</v>
      </c>
      <c r="H47" s="5">
        <f>G47/F47</f>
        <v>0.22805017103762829</v>
      </c>
      <c r="J47" s="16">
        <f>IF(A47="Male",0, 1)</f>
        <v>0</v>
      </c>
      <c r="K47" s="13">
        <f>IF(B47="No",0, 1)</f>
        <v>0</v>
      </c>
      <c r="L47" s="13">
        <f>IF(C47="Mon",1,IF(C47="Tues",2,IF(C47="Wed",3,IF(C47="Thur",4,IF(C47="Fri",5,IF(C47="Sat",6,7))))))</f>
        <v>7</v>
      </c>
      <c r="M47" s="13">
        <f>IF(D47="Lunch",0,1)</f>
        <v>1</v>
      </c>
      <c r="N47" s="13">
        <v>2</v>
      </c>
      <c r="O47" s="13">
        <v>12.46</v>
      </c>
      <c r="P47" s="13">
        <v>1.5</v>
      </c>
      <c r="Q47" s="15">
        <f>P47/O47</f>
        <v>0.1203852327447833</v>
      </c>
      <c r="R47" s="15">
        <f>AVERAGE(IF(A47="Female",GETPIVOTDATA("tip %",$W$26,"sex","Female"),GETPIVOTDATA("tip %",$W$26,"sex","Male")),IF(K47=0,GETPIVOTDATA("tip %",$AA$26,"smoker","No"),GETPIVOTDATA("tip %",$AA$26,"smoker","Yes")),IF(C47=$W$33,GETPIVOTDATA("tip %",$W$32,"day","Thur"),IF(C47=$W$34,GETPIVOTDATA("tip %",$W$32,"day","Fri"),IF(C47=$W$35,GETPIVOTDATA("tip %",$W$32,"day","Sat"),IF(C47=$W$36,GETPIVOTDATA("tip %",$W$32,"day","Sun"),GETPIVOTDATA("tip %",$W$32))))),IF(D47=$AE$27,GETPIVOTDATA("tip %",$AE$26,"time","Dinner"),GETPIVOTDATA("tip %",$AE$26,"time","Lunch")),IF(N47=$AA$33,GETPIVOTDATA("Average of tip %",$AA$32,"size",1),IF(N47=$AA$34,GETPIVOTDATA("Average of tip %",$AA$32,"size",2),IF(N47=$AA$35,GETPIVOTDATA("Average of tip %",$AA$32,"size",3),IF(N47=$AA$36,GETPIVOTDATA("Average of tip %",$AA$32,"size",4),IF(N47=$AA$37,GETPIVOTDATA("Average of tip %",$AA$32,"size",5),GETPIVOTDATA("Average of tip %",$AA$32,"size",6)))))))</f>
        <v>0.16182265520985073</v>
      </c>
      <c r="S47" s="14">
        <f t="shared" si="0"/>
        <v>3.0043163729662368</v>
      </c>
      <c r="T47" s="17">
        <f t="shared" si="1"/>
        <v>2.0163102839147404</v>
      </c>
      <c r="U47" s="12">
        <f t="shared" si="2"/>
        <v>2.5103133284404886</v>
      </c>
      <c r="AB47" t="s">
        <v>72</v>
      </c>
    </row>
    <row r="48" spans="1:30" x14ac:dyDescent="0.2">
      <c r="A48" t="s">
        <v>11</v>
      </c>
      <c r="B48" t="s">
        <v>8</v>
      </c>
      <c r="C48" t="s">
        <v>21</v>
      </c>
      <c r="D48" t="s">
        <v>10</v>
      </c>
      <c r="E48">
        <v>2</v>
      </c>
      <c r="F48">
        <v>13.37</v>
      </c>
      <c r="G48">
        <v>2</v>
      </c>
      <c r="H48" s="5">
        <f>G48/F48</f>
        <v>0.14958863126402394</v>
      </c>
      <c r="J48" s="16">
        <f>IF(A48="Male",0, 1)</f>
        <v>0</v>
      </c>
      <c r="K48" s="13">
        <f>IF(B48="No",0, 1)</f>
        <v>0</v>
      </c>
      <c r="L48" s="13">
        <f>IF(C48="Mon",1,IF(C48="Tues",2,IF(C48="Wed",3,IF(C48="Thur",4,IF(C48="Fri",5,IF(C48="Sat",6,7))))))</f>
        <v>6</v>
      </c>
      <c r="M48" s="13">
        <f>IF(D48="Lunch",0,1)</f>
        <v>1</v>
      </c>
      <c r="N48" s="13">
        <v>2</v>
      </c>
      <c r="O48" s="13">
        <v>12.48</v>
      </c>
      <c r="P48" s="13">
        <v>2.52</v>
      </c>
      <c r="Q48" s="15">
        <f>P48/O48</f>
        <v>0.20192307692307693</v>
      </c>
      <c r="R48" s="15">
        <f>AVERAGE(IF(A48="Female",GETPIVOTDATA("tip %",$W$26,"sex","Female"),GETPIVOTDATA("tip %",$W$26,"sex","Male")),IF(K48=0,GETPIVOTDATA("tip %",$AA$26,"smoker","No"),GETPIVOTDATA("tip %",$AA$26,"smoker","Yes")),IF(C48=$W$33,GETPIVOTDATA("tip %",$W$32,"day","Thur"),IF(C48=$W$34,GETPIVOTDATA("tip %",$W$32,"day","Fri"),IF(C48=$W$35,GETPIVOTDATA("tip %",$W$32,"day","Sat"),IF(C48=$W$36,GETPIVOTDATA("tip %",$W$32,"day","Sun"),GETPIVOTDATA("tip %",$W$32))))),IF(D48=$AE$27,GETPIVOTDATA("tip %",$AE$26,"time","Dinner"),GETPIVOTDATA("tip %",$AE$26,"time","Lunch")),IF(N48=$AA$33,GETPIVOTDATA("Average of tip %",$AA$32,"size",1),IF(N48=$AA$34,GETPIVOTDATA("Average of tip %",$AA$32,"size",2),IF(N48=$AA$35,GETPIVOTDATA("Average of tip %",$AA$32,"size",3),IF(N48=$AA$36,GETPIVOTDATA("Average of tip %",$AA$32,"size",4),IF(N48=$AA$37,GETPIVOTDATA("Average of tip %",$AA$32,"size",5),GETPIVOTDATA("Average of tip %",$AA$32,"size",6)))))))</f>
        <v>0.15907354121717945</v>
      </c>
      <c r="S48" s="14">
        <f t="shared" si="0"/>
        <v>2.9519107468319357</v>
      </c>
      <c r="T48" s="17">
        <f t="shared" si="1"/>
        <v>1.9852377943903996</v>
      </c>
      <c r="U48" s="12">
        <f t="shared" si="2"/>
        <v>2.4685742706111675</v>
      </c>
    </row>
    <row r="49" spans="1:24" x14ac:dyDescent="0.2">
      <c r="A49" t="s">
        <v>11</v>
      </c>
      <c r="B49" t="s">
        <v>8</v>
      </c>
      <c r="C49" t="s">
        <v>21</v>
      </c>
      <c r="D49" t="s">
        <v>10</v>
      </c>
      <c r="E49">
        <v>2</v>
      </c>
      <c r="F49">
        <v>12.69</v>
      </c>
      <c r="G49">
        <v>2</v>
      </c>
      <c r="H49" s="5">
        <f>G49/F49</f>
        <v>0.15760441292356187</v>
      </c>
      <c r="J49" s="16">
        <f>IF(A49="Male",0, 1)</f>
        <v>0</v>
      </c>
      <c r="K49" s="13">
        <f>IF(B49="No",0, 1)</f>
        <v>0</v>
      </c>
      <c r="L49" s="13">
        <f>IF(C49="Mon",1,IF(C49="Tues",2,IF(C49="Wed",3,IF(C49="Thur",4,IF(C49="Fri",5,IF(C49="Sat",6,7))))))</f>
        <v>6</v>
      </c>
      <c r="M49" s="13">
        <f>IF(D49="Lunch",0,1)</f>
        <v>1</v>
      </c>
      <c r="N49" s="13">
        <v>2</v>
      </c>
      <c r="O49" s="13">
        <v>12.54</v>
      </c>
      <c r="P49" s="13">
        <v>2.5</v>
      </c>
      <c r="Q49" s="15">
        <f>P49/O49</f>
        <v>0.19936204146730463</v>
      </c>
      <c r="R49" s="15">
        <f>AVERAGE(IF(A49="Female",GETPIVOTDATA("tip %",$W$26,"sex","Female"),GETPIVOTDATA("tip %",$W$26,"sex","Male")),IF(K49=0,GETPIVOTDATA("tip %",$AA$26,"smoker","No"),GETPIVOTDATA("tip %",$AA$26,"smoker","Yes")),IF(C49=$W$33,GETPIVOTDATA("tip %",$W$32,"day","Thur"),IF(C49=$W$34,GETPIVOTDATA("tip %",$W$32,"day","Fri"),IF(C49=$W$35,GETPIVOTDATA("tip %",$W$32,"day","Sat"),IF(C49=$W$36,GETPIVOTDATA("tip %",$W$32,"day","Sun"),GETPIVOTDATA("tip %",$W$32))))),IF(D49=$AE$27,GETPIVOTDATA("tip %",$AE$26,"time","Dinner"),GETPIVOTDATA("tip %",$AE$26,"time","Lunch")),IF(N49=$AA$33,GETPIVOTDATA("Average of tip %",$AA$32,"size",1),IF(N49=$AA$34,GETPIVOTDATA("Average of tip %",$AA$32,"size",2),IF(N49=$AA$35,GETPIVOTDATA("Average of tip %",$AA$32,"size",3),IF(N49=$AA$36,GETPIVOTDATA("Average of tip %",$AA$32,"size",4),IF(N49=$AA$37,GETPIVOTDATA("Average of tip %",$AA$32,"size",5),GETPIVOTDATA("Average of tip %",$AA$32,"size",6)))))))</f>
        <v>0.15907354121717945</v>
      </c>
      <c r="S49" s="14">
        <f t="shared" si="0"/>
        <v>2.9519107468319357</v>
      </c>
      <c r="T49" s="17">
        <f t="shared" si="1"/>
        <v>1.9947822068634302</v>
      </c>
      <c r="U49" s="12">
        <f t="shared" si="2"/>
        <v>2.4733464768476829</v>
      </c>
    </row>
    <row r="50" spans="1:24" x14ac:dyDescent="0.2">
      <c r="A50" t="s">
        <v>11</v>
      </c>
      <c r="B50" t="s">
        <v>22</v>
      </c>
      <c r="C50" t="s">
        <v>21</v>
      </c>
      <c r="D50" t="s">
        <v>10</v>
      </c>
      <c r="E50">
        <v>2</v>
      </c>
      <c r="F50">
        <v>13.81</v>
      </c>
      <c r="G50">
        <v>2</v>
      </c>
      <c r="H50" s="5">
        <f>G50/F50</f>
        <v>0.14482259232440259</v>
      </c>
      <c r="J50" s="16">
        <f>IF(A50="Male",0, 1)</f>
        <v>0</v>
      </c>
      <c r="K50" s="13">
        <f>IF(B50="No",0, 1)</f>
        <v>1</v>
      </c>
      <c r="L50" s="13">
        <f>IF(C50="Mon",1,IF(C50="Tues",2,IF(C50="Wed",3,IF(C50="Thur",4,IF(C50="Fri",5,IF(C50="Sat",6,7))))))</f>
        <v>6</v>
      </c>
      <c r="M50" s="13">
        <f>IF(D50="Lunch",0,1)</f>
        <v>1</v>
      </c>
      <c r="N50" s="13">
        <v>2</v>
      </c>
      <c r="O50" s="13">
        <v>12.6</v>
      </c>
      <c r="P50" s="13">
        <v>1</v>
      </c>
      <c r="Q50" s="15">
        <f>P50/O50</f>
        <v>7.9365079365079361E-2</v>
      </c>
      <c r="R50" s="15">
        <f>AVERAGE(IF(A50="Female",GETPIVOTDATA("tip %",$W$26,"sex","Female"),GETPIVOTDATA("tip %",$W$26,"sex","Male")),IF(K50=0,GETPIVOTDATA("tip %",$AA$26,"smoker","No"),GETPIVOTDATA("tip %",$AA$26,"smoker","Yes")),IF(C50=$W$33,GETPIVOTDATA("tip %",$W$32,"day","Thur"),IF(C50=$W$34,GETPIVOTDATA("tip %",$W$32,"day","Fri"),IF(C50=$W$35,GETPIVOTDATA("tip %",$W$32,"day","Sat"),IF(C50=$W$36,GETPIVOTDATA("tip %",$W$32,"day","Sun"),GETPIVOTDATA("tip %",$W$32))))),IF(D50=$AE$27,GETPIVOTDATA("tip %",$AE$26,"time","Dinner"),GETPIVOTDATA("tip %",$AE$26,"time","Lunch")),IF(N50=$AA$33,GETPIVOTDATA("Average of tip %",$AA$32,"size",1),IF(N50=$AA$34,GETPIVOTDATA("Average of tip %",$AA$32,"size",2),IF(N50=$AA$35,GETPIVOTDATA("Average of tip %",$AA$32,"size",3),IF(N50=$AA$36,GETPIVOTDATA("Average of tip %",$AA$32,"size",4),IF(N50=$AA$37,GETPIVOTDATA("Average of tip %",$AA$32,"size",5),GETPIVOTDATA("Average of tip %",$AA$32,"size",6)))))))</f>
        <v>0.15984705770871196</v>
      </c>
      <c r="S50" s="14">
        <f t="shared" si="0"/>
        <v>2.9552818213886538</v>
      </c>
      <c r="T50" s="17">
        <f t="shared" si="1"/>
        <v>2.0140729271297708</v>
      </c>
      <c r="U50" s="12">
        <f t="shared" si="2"/>
        <v>2.4846773742592125</v>
      </c>
    </row>
    <row r="51" spans="1:24" x14ac:dyDescent="0.2">
      <c r="A51" t="s">
        <v>11</v>
      </c>
      <c r="B51" t="s">
        <v>8</v>
      </c>
      <c r="C51" t="s">
        <v>23</v>
      </c>
      <c r="D51" t="s">
        <v>24</v>
      </c>
      <c r="E51">
        <v>2</v>
      </c>
      <c r="F51">
        <v>13.03</v>
      </c>
      <c r="G51">
        <v>2</v>
      </c>
      <c r="H51" s="5">
        <f>G51/F51</f>
        <v>0.15349194167306218</v>
      </c>
      <c r="J51" s="16">
        <f>IF(A51="Male",0, 1)</f>
        <v>0</v>
      </c>
      <c r="K51" s="13">
        <f>IF(B51="No",0, 1)</f>
        <v>0</v>
      </c>
      <c r="L51" s="13">
        <f>IF(C51="Mon",1,IF(C51="Tues",2,IF(C51="Wed",3,IF(C51="Thur",4,IF(C51="Fri",5,IF(C51="Sat",6,7))))))</f>
        <v>4</v>
      </c>
      <c r="M51" s="13">
        <f>IF(D51="Lunch",0,1)</f>
        <v>0</v>
      </c>
      <c r="N51" s="13">
        <v>2</v>
      </c>
      <c r="O51" s="13">
        <v>12.66</v>
      </c>
      <c r="P51" s="13">
        <v>2.5</v>
      </c>
      <c r="Q51" s="15">
        <f>P51/O51</f>
        <v>0.19747235387045814</v>
      </c>
      <c r="R51" s="15">
        <f>AVERAGE(IF(A51="Female",GETPIVOTDATA("tip %",$W$26,"sex","Female"),GETPIVOTDATA("tip %",$W$26,"sex","Male")),IF(K51=0,GETPIVOTDATA("tip %",$AA$26,"smoker","No"),GETPIVOTDATA("tip %",$AA$26,"smoker","Yes")),IF(C51=$W$33,GETPIVOTDATA("tip %",$W$32,"day","Thur"),IF(C51=$W$34,GETPIVOTDATA("tip %",$W$32,"day","Fri"),IF(C51=$W$35,GETPIVOTDATA("tip %",$W$32,"day","Sat"),IF(C51=$W$36,GETPIVOTDATA("tip %",$W$32,"day","Sun"),GETPIVOTDATA("tip %",$W$32))))),IF(D51=$AE$27,GETPIVOTDATA("tip %",$AE$26,"time","Dinner"),GETPIVOTDATA("tip %",$AE$26,"time","Lunch")),IF(N51=$AA$33,GETPIVOTDATA("Average of tip %",$AA$32,"size",1),IF(N51=$AA$34,GETPIVOTDATA("Average of tip %",$AA$32,"size",2),IF(N51=$AA$35,GETPIVOTDATA("Average of tip %",$AA$32,"size",3),IF(N51=$AA$36,GETPIVOTDATA("Average of tip %",$AA$32,"size",4),IF(N51=$AA$37,GETPIVOTDATA("Average of tip %",$AA$32,"size",5),GETPIVOTDATA("Average of tip %",$AA$32,"size",6)))))))</f>
        <v>0.16162035260949875</v>
      </c>
      <c r="S51" s="14">
        <f t="shared" si="0"/>
        <v>2.8326639359071408</v>
      </c>
      <c r="T51" s="17">
        <f t="shared" si="1"/>
        <v>2.0461136640362541</v>
      </c>
      <c r="U51" s="12">
        <f t="shared" si="2"/>
        <v>2.4393887999716974</v>
      </c>
    </row>
    <row r="52" spans="1:24" x14ac:dyDescent="0.2">
      <c r="A52" t="s">
        <v>11</v>
      </c>
      <c r="B52" t="s">
        <v>8</v>
      </c>
      <c r="C52" t="s">
        <v>23</v>
      </c>
      <c r="D52" t="s">
        <v>24</v>
      </c>
      <c r="E52">
        <v>2</v>
      </c>
      <c r="F52">
        <v>15.95</v>
      </c>
      <c r="G52">
        <v>2</v>
      </c>
      <c r="H52" s="5">
        <f>G52/F52</f>
        <v>0.12539184952978058</v>
      </c>
      <c r="J52" s="16">
        <f>IF(A52="Male",0, 1)</f>
        <v>0</v>
      </c>
      <c r="K52" s="13">
        <f>IF(B52="No",0, 1)</f>
        <v>0</v>
      </c>
      <c r="L52" s="13">
        <f>IF(C52="Mon",1,IF(C52="Tues",2,IF(C52="Wed",3,IF(C52="Thur",4,IF(C52="Fri",5,IF(C52="Sat",6,7))))))</f>
        <v>4</v>
      </c>
      <c r="M52" s="13">
        <f>IF(D52="Lunch",0,1)</f>
        <v>0</v>
      </c>
      <c r="N52" s="13">
        <v>2</v>
      </c>
      <c r="O52" s="13">
        <v>12.69</v>
      </c>
      <c r="P52" s="13">
        <v>2</v>
      </c>
      <c r="Q52" s="15">
        <f>P52/O52</f>
        <v>0.15760441292356187</v>
      </c>
      <c r="R52" s="15">
        <f>AVERAGE(IF(A52="Female",GETPIVOTDATA("tip %",$W$26,"sex","Female"),GETPIVOTDATA("tip %",$W$26,"sex","Male")),IF(K52=0,GETPIVOTDATA("tip %",$AA$26,"smoker","No"),GETPIVOTDATA("tip %",$AA$26,"smoker","Yes")),IF(C52=$W$33,GETPIVOTDATA("tip %",$W$32,"day","Thur"),IF(C52=$W$34,GETPIVOTDATA("tip %",$W$32,"day","Fri"),IF(C52=$W$35,GETPIVOTDATA("tip %",$W$32,"day","Sat"),IF(C52=$W$36,GETPIVOTDATA("tip %",$W$32,"day","Sun"),GETPIVOTDATA("tip %",$W$32))))),IF(D52=$AE$27,GETPIVOTDATA("tip %",$AE$26,"time","Dinner"),GETPIVOTDATA("tip %",$AE$26,"time","Lunch")),IF(N52=$AA$33,GETPIVOTDATA("Average of tip %",$AA$32,"size",1),IF(N52=$AA$34,GETPIVOTDATA("Average of tip %",$AA$32,"size",2),IF(N52=$AA$35,GETPIVOTDATA("Average of tip %",$AA$32,"size",3),IF(N52=$AA$36,GETPIVOTDATA("Average of tip %",$AA$32,"size",4),IF(N52=$AA$37,GETPIVOTDATA("Average of tip %",$AA$32,"size",5),GETPIVOTDATA("Average of tip %",$AA$32,"size",6)))))))</f>
        <v>0.16162035260949875</v>
      </c>
      <c r="S52" s="14">
        <f t="shared" si="0"/>
        <v>2.8326639359071408</v>
      </c>
      <c r="T52" s="17">
        <f t="shared" si="1"/>
        <v>2.0509622746145393</v>
      </c>
      <c r="U52" s="12">
        <f t="shared" si="2"/>
        <v>2.4418131052608398</v>
      </c>
    </row>
    <row r="53" spans="1:24" x14ac:dyDescent="0.2">
      <c r="A53" t="s">
        <v>7</v>
      </c>
      <c r="B53" t="s">
        <v>8</v>
      </c>
      <c r="C53" t="s">
        <v>23</v>
      </c>
      <c r="D53" t="s">
        <v>24</v>
      </c>
      <c r="E53">
        <v>2</v>
      </c>
      <c r="F53">
        <v>14.52</v>
      </c>
      <c r="G53">
        <v>2</v>
      </c>
      <c r="H53" s="5">
        <f>G53/F53</f>
        <v>0.13774104683195593</v>
      </c>
      <c r="J53" s="16">
        <f>IF(A53="Male",0, 1)</f>
        <v>1</v>
      </c>
      <c r="K53" s="13">
        <f>IF(B53="No",0, 1)</f>
        <v>0</v>
      </c>
      <c r="L53" s="13">
        <f>IF(C53="Mon",1,IF(C53="Tues",2,IF(C53="Wed",3,IF(C53="Thur",4,IF(C53="Fri",5,IF(C53="Sat",6,7))))))</f>
        <v>4</v>
      </c>
      <c r="M53" s="13">
        <f>IF(D53="Lunch",0,1)</f>
        <v>0</v>
      </c>
      <c r="N53" s="13">
        <v>2</v>
      </c>
      <c r="O53" s="13">
        <v>12.74</v>
      </c>
      <c r="P53" s="13">
        <v>2.0099999999999998</v>
      </c>
      <c r="Q53" s="15">
        <f>P53/O53</f>
        <v>0.15777080062794346</v>
      </c>
      <c r="R53" s="15">
        <f>AVERAGE(IF(A53="Female",GETPIVOTDATA("tip %",$W$26,"sex","Female"),GETPIVOTDATA("tip %",$W$26,"sex","Male")),IF(K53=0,GETPIVOTDATA("tip %",$AA$26,"smoker","No"),GETPIVOTDATA("tip %",$AA$26,"smoker","Yes")),IF(C53=$W$33,GETPIVOTDATA("tip %",$W$32,"day","Thur"),IF(C53=$W$34,GETPIVOTDATA("tip %",$W$32,"day","Fri"),IF(C53=$W$35,GETPIVOTDATA("tip %",$W$32,"day","Sat"),IF(C53=$W$36,GETPIVOTDATA("tip %",$W$32,"day","Sun"),GETPIVOTDATA("tip %",$W$32))))),IF(D53=$AE$27,GETPIVOTDATA("tip %",$AE$26,"time","Dinner"),GETPIVOTDATA("tip %",$AE$26,"time","Lunch")),IF(N53=$AA$33,GETPIVOTDATA("Average of tip %",$AA$32,"size",1),IF(N53=$AA$34,GETPIVOTDATA("Average of tip %",$AA$32,"size",2),IF(N53=$AA$35,GETPIVOTDATA("Average of tip %",$AA$32,"size",3),IF(N53=$AA$36,GETPIVOTDATA("Average of tip %",$AA$32,"size",4),IF(N53=$AA$37,GETPIVOTDATA("Average of tip %",$AA$32,"size",5),GETPIVOTDATA("Average of tip %",$AA$32,"size",6)))))))</f>
        <v>0.16338839047442422</v>
      </c>
      <c r="S53" s="14">
        <f t="shared" si="0"/>
        <v>2.7814300242005734</v>
      </c>
      <c r="T53" s="17">
        <f t="shared" si="1"/>
        <v>2.0815680946441644</v>
      </c>
      <c r="U53" s="12">
        <f t="shared" si="2"/>
        <v>2.4314990594223689</v>
      </c>
    </row>
    <row r="54" spans="1:24" x14ac:dyDescent="0.2">
      <c r="A54" t="s">
        <v>7</v>
      </c>
      <c r="B54" t="s">
        <v>8</v>
      </c>
      <c r="C54" t="s">
        <v>23</v>
      </c>
      <c r="D54" t="s">
        <v>24</v>
      </c>
      <c r="E54">
        <v>2</v>
      </c>
      <c r="F54">
        <v>11.38</v>
      </c>
      <c r="G54">
        <v>2</v>
      </c>
      <c r="H54" s="5">
        <f>G54/F54</f>
        <v>0.17574692442882248</v>
      </c>
      <c r="J54" s="16">
        <f>IF(A54="Male",0, 1)</f>
        <v>1</v>
      </c>
      <c r="K54" s="13">
        <f>IF(B54="No",0, 1)</f>
        <v>0</v>
      </c>
      <c r="L54" s="13">
        <f>IF(C54="Mon",1,IF(C54="Tues",2,IF(C54="Wed",3,IF(C54="Thur",4,IF(C54="Fri",5,IF(C54="Sat",6,7))))))</f>
        <v>4</v>
      </c>
      <c r="M54" s="13">
        <f>IF(D54="Lunch",0,1)</f>
        <v>0</v>
      </c>
      <c r="N54" s="13">
        <v>2</v>
      </c>
      <c r="O54" s="13">
        <v>12.76</v>
      </c>
      <c r="P54" s="13">
        <v>2.23</v>
      </c>
      <c r="Q54" s="15">
        <f>P54/O54</f>
        <v>0.17476489028213166</v>
      </c>
      <c r="R54" s="15">
        <f>AVERAGE(IF(A54="Female",GETPIVOTDATA("tip %",$W$26,"sex","Female"),GETPIVOTDATA("tip %",$W$26,"sex","Male")),IF(K54=0,GETPIVOTDATA("tip %",$AA$26,"smoker","No"),GETPIVOTDATA("tip %",$AA$26,"smoker","Yes")),IF(C54=$W$33,GETPIVOTDATA("tip %",$W$32,"day","Thur"),IF(C54=$W$34,GETPIVOTDATA("tip %",$W$32,"day","Fri"),IF(C54=$W$35,GETPIVOTDATA("tip %",$W$32,"day","Sat"),IF(C54=$W$36,GETPIVOTDATA("tip %",$W$32,"day","Sun"),GETPIVOTDATA("tip %",$W$32))))),IF(D54=$AE$27,GETPIVOTDATA("tip %",$AE$26,"time","Dinner"),GETPIVOTDATA("tip %",$AE$26,"time","Lunch")),IF(N54=$AA$33,GETPIVOTDATA("Average of tip %",$AA$32,"size",1),IF(N54=$AA$34,GETPIVOTDATA("Average of tip %",$AA$32,"size",2),IF(N54=$AA$35,GETPIVOTDATA("Average of tip %",$AA$32,"size",3),IF(N54=$AA$36,GETPIVOTDATA("Average of tip %",$AA$32,"size",4),IF(N54=$AA$37,GETPIVOTDATA("Average of tip %",$AA$32,"size",5),GETPIVOTDATA("Average of tip %",$AA$32,"size",6)))))))</f>
        <v>0.16338839047442422</v>
      </c>
      <c r="S54" s="14">
        <f t="shared" si="0"/>
        <v>2.7814300242005734</v>
      </c>
      <c r="T54" s="17">
        <f t="shared" si="1"/>
        <v>2.0848358624536529</v>
      </c>
      <c r="U54" s="12">
        <f t="shared" si="2"/>
        <v>2.4331329433271129</v>
      </c>
    </row>
    <row r="55" spans="1:24" x14ac:dyDescent="0.2">
      <c r="A55" t="s">
        <v>7</v>
      </c>
      <c r="B55" t="s">
        <v>8</v>
      </c>
      <c r="C55" t="s">
        <v>23</v>
      </c>
      <c r="D55" t="s">
        <v>24</v>
      </c>
      <c r="E55">
        <v>2</v>
      </c>
      <c r="F55">
        <v>12.26</v>
      </c>
      <c r="G55">
        <v>2</v>
      </c>
      <c r="H55" s="5">
        <f>G55/F55</f>
        <v>0.16313213703099511</v>
      </c>
      <c r="J55" s="16">
        <f>IF(A55="Male",0, 1)</f>
        <v>1</v>
      </c>
      <c r="K55" s="13">
        <f>IF(B55="No",0, 1)</f>
        <v>0</v>
      </c>
      <c r="L55" s="13">
        <f>IF(C55="Mon",1,IF(C55="Tues",2,IF(C55="Wed",3,IF(C55="Thur",4,IF(C55="Fri",5,IF(C55="Sat",6,7))))))</f>
        <v>4</v>
      </c>
      <c r="M55" s="13">
        <f>IF(D55="Lunch",0,1)</f>
        <v>0</v>
      </c>
      <c r="N55" s="13">
        <v>2</v>
      </c>
      <c r="O55" s="13">
        <v>12.9</v>
      </c>
      <c r="P55" s="13">
        <v>1.1000000000000001</v>
      </c>
      <c r="Q55" s="15">
        <f>P55/O55</f>
        <v>8.5271317829457363E-2</v>
      </c>
      <c r="R55" s="15">
        <f>AVERAGE(IF(A55="Female",GETPIVOTDATA("tip %",$W$26,"sex","Female"),GETPIVOTDATA("tip %",$W$26,"sex","Male")),IF(K55=0,GETPIVOTDATA("tip %",$AA$26,"smoker","No"),GETPIVOTDATA("tip %",$AA$26,"smoker","Yes")),IF(C55=$W$33,GETPIVOTDATA("tip %",$W$32,"day","Thur"),IF(C55=$W$34,GETPIVOTDATA("tip %",$W$32,"day","Fri"),IF(C55=$W$35,GETPIVOTDATA("tip %",$W$32,"day","Sat"),IF(C55=$W$36,GETPIVOTDATA("tip %",$W$32,"day","Sun"),GETPIVOTDATA("tip %",$W$32))))),IF(D55=$AE$27,GETPIVOTDATA("tip %",$AE$26,"time","Dinner"),GETPIVOTDATA("tip %",$AE$26,"time","Lunch")),IF(N55=$AA$33,GETPIVOTDATA("Average of tip %",$AA$32,"size",1),IF(N55=$AA$34,GETPIVOTDATA("Average of tip %",$AA$32,"size",2),IF(N55=$AA$35,GETPIVOTDATA("Average of tip %",$AA$32,"size",3),IF(N55=$AA$36,GETPIVOTDATA("Average of tip %",$AA$32,"size",4),IF(N55=$AA$37,GETPIVOTDATA("Average of tip %",$AA$32,"size",5),GETPIVOTDATA("Average of tip %",$AA$32,"size",6)))))))</f>
        <v>0.16338839047442422</v>
      </c>
      <c r="S55" s="14">
        <f t="shared" si="0"/>
        <v>2.7814300242005734</v>
      </c>
      <c r="T55" s="17">
        <f t="shared" si="1"/>
        <v>2.1077102371200724</v>
      </c>
      <c r="U55" s="12">
        <f t="shared" si="2"/>
        <v>2.4445701306603231</v>
      </c>
    </row>
    <row r="56" spans="1:24" x14ac:dyDescent="0.2">
      <c r="A56" t="s">
        <v>7</v>
      </c>
      <c r="B56" t="s">
        <v>8</v>
      </c>
      <c r="C56" t="s">
        <v>23</v>
      </c>
      <c r="D56" t="s">
        <v>24</v>
      </c>
      <c r="E56">
        <v>2</v>
      </c>
      <c r="F56">
        <v>10.33</v>
      </c>
      <c r="G56">
        <v>2</v>
      </c>
      <c r="H56" s="5">
        <f>G56/F56</f>
        <v>0.1936108422071636</v>
      </c>
      <c r="J56" s="16">
        <f>IF(A56="Male",0, 1)</f>
        <v>1</v>
      </c>
      <c r="K56" s="13">
        <f>IF(B56="No",0, 1)</f>
        <v>0</v>
      </c>
      <c r="L56" s="13">
        <f>IF(C56="Mon",1,IF(C56="Tues",2,IF(C56="Wed",3,IF(C56="Thur",4,IF(C56="Fri",5,IF(C56="Sat",6,7))))))</f>
        <v>4</v>
      </c>
      <c r="M56" s="13">
        <f>IF(D56="Lunch",0,1)</f>
        <v>0</v>
      </c>
      <c r="N56" s="13">
        <v>2</v>
      </c>
      <c r="O56" s="13">
        <v>13</v>
      </c>
      <c r="P56" s="13">
        <v>2</v>
      </c>
      <c r="Q56" s="15">
        <f>P56/O56</f>
        <v>0.15384615384615385</v>
      </c>
      <c r="R56" s="15">
        <f>AVERAGE(IF(A56="Female",GETPIVOTDATA("tip %",$W$26,"sex","Female"),GETPIVOTDATA("tip %",$W$26,"sex","Male")),IF(K56=0,GETPIVOTDATA("tip %",$AA$26,"smoker","No"),GETPIVOTDATA("tip %",$AA$26,"smoker","Yes")),IF(C56=$W$33,GETPIVOTDATA("tip %",$W$32,"day","Thur"),IF(C56=$W$34,GETPIVOTDATA("tip %",$W$32,"day","Fri"),IF(C56=$W$35,GETPIVOTDATA("tip %",$W$32,"day","Sat"),IF(C56=$W$36,GETPIVOTDATA("tip %",$W$32,"day","Sun"),GETPIVOTDATA("tip %",$W$32))))),IF(D56=$AE$27,GETPIVOTDATA("tip %",$AE$26,"time","Dinner"),GETPIVOTDATA("tip %",$AE$26,"time","Lunch")),IF(N56=$AA$33,GETPIVOTDATA("Average of tip %",$AA$32,"size",1),IF(N56=$AA$34,GETPIVOTDATA("Average of tip %",$AA$32,"size",2),IF(N56=$AA$35,GETPIVOTDATA("Average of tip %",$AA$32,"size",3),IF(N56=$AA$36,GETPIVOTDATA("Average of tip %",$AA$32,"size",4),IF(N56=$AA$37,GETPIVOTDATA("Average of tip %",$AA$32,"size",5),GETPIVOTDATA("Average of tip %",$AA$32,"size",6)))))))</f>
        <v>0.16338839047442422</v>
      </c>
      <c r="S56" s="14">
        <f t="shared" si="0"/>
        <v>2.7814300242005734</v>
      </c>
      <c r="T56" s="17">
        <f t="shared" si="1"/>
        <v>2.1240490761675148</v>
      </c>
      <c r="U56" s="12">
        <f t="shared" si="2"/>
        <v>2.4527395501840443</v>
      </c>
    </row>
    <row r="57" spans="1:24" x14ac:dyDescent="0.2">
      <c r="A57" t="s">
        <v>7</v>
      </c>
      <c r="B57" t="s">
        <v>8</v>
      </c>
      <c r="C57" t="s">
        <v>23</v>
      </c>
      <c r="D57" t="s">
        <v>24</v>
      </c>
      <c r="E57">
        <v>2</v>
      </c>
      <c r="F57">
        <v>14.15</v>
      </c>
      <c r="G57">
        <v>2</v>
      </c>
      <c r="H57" s="5">
        <f>G57/F57</f>
        <v>0.14134275618374559</v>
      </c>
      <c r="J57" s="16">
        <f>IF(A57="Male",0, 1)</f>
        <v>1</v>
      </c>
      <c r="K57" s="13">
        <f>IF(B57="No",0, 1)</f>
        <v>0</v>
      </c>
      <c r="L57" s="13">
        <f>IF(C57="Mon",1,IF(C57="Tues",2,IF(C57="Wed",3,IF(C57="Thur",4,IF(C57="Fri",5,IF(C57="Sat",6,7))))))</f>
        <v>4</v>
      </c>
      <c r="M57" s="13">
        <f>IF(D57="Lunch",0,1)</f>
        <v>0</v>
      </c>
      <c r="N57" s="13">
        <v>2</v>
      </c>
      <c r="O57" s="13">
        <v>13</v>
      </c>
      <c r="P57" s="13">
        <v>2</v>
      </c>
      <c r="Q57" s="15">
        <f>P57/O57</f>
        <v>0.15384615384615385</v>
      </c>
      <c r="R57" s="15">
        <f>AVERAGE(IF(A57="Female",GETPIVOTDATA("tip %",$W$26,"sex","Female"),GETPIVOTDATA("tip %",$W$26,"sex","Male")),IF(K57=0,GETPIVOTDATA("tip %",$AA$26,"smoker","No"),GETPIVOTDATA("tip %",$AA$26,"smoker","Yes")),IF(C57=$W$33,GETPIVOTDATA("tip %",$W$32,"day","Thur"),IF(C57=$W$34,GETPIVOTDATA("tip %",$W$32,"day","Fri"),IF(C57=$W$35,GETPIVOTDATA("tip %",$W$32,"day","Sat"),IF(C57=$W$36,GETPIVOTDATA("tip %",$W$32,"day","Sun"),GETPIVOTDATA("tip %",$W$32))))),IF(D57=$AE$27,GETPIVOTDATA("tip %",$AE$26,"time","Dinner"),GETPIVOTDATA("tip %",$AE$26,"time","Lunch")),IF(N57=$AA$33,GETPIVOTDATA("Average of tip %",$AA$32,"size",1),IF(N57=$AA$34,GETPIVOTDATA("Average of tip %",$AA$32,"size",2),IF(N57=$AA$35,GETPIVOTDATA("Average of tip %",$AA$32,"size",3),IF(N57=$AA$36,GETPIVOTDATA("Average of tip %",$AA$32,"size",4),IF(N57=$AA$37,GETPIVOTDATA("Average of tip %",$AA$32,"size",5),GETPIVOTDATA("Average of tip %",$AA$32,"size",6)))))))</f>
        <v>0.16338839047442422</v>
      </c>
      <c r="S57" s="14">
        <f t="shared" si="0"/>
        <v>2.7814300242005734</v>
      </c>
      <c r="T57" s="17">
        <f t="shared" si="1"/>
        <v>2.1240490761675148</v>
      </c>
      <c r="U57" s="12">
        <f t="shared" si="2"/>
        <v>2.4527395501840443</v>
      </c>
    </row>
    <row r="58" spans="1:24" x14ac:dyDescent="0.2">
      <c r="A58" t="s">
        <v>11</v>
      </c>
      <c r="B58" t="s">
        <v>22</v>
      </c>
      <c r="C58" t="s">
        <v>23</v>
      </c>
      <c r="D58" t="s">
        <v>24</v>
      </c>
      <c r="E58">
        <v>2</v>
      </c>
      <c r="F58">
        <v>16</v>
      </c>
      <c r="G58">
        <v>2</v>
      </c>
      <c r="H58" s="5">
        <f>G58/F58</f>
        <v>0.125</v>
      </c>
      <c r="J58" s="16">
        <f>IF(A58="Male",0, 1)</f>
        <v>0</v>
      </c>
      <c r="K58" s="13">
        <f>IF(B58="No",0, 1)</f>
        <v>1</v>
      </c>
      <c r="L58" s="13">
        <f>IF(C58="Mon",1,IF(C58="Tues",2,IF(C58="Wed",3,IF(C58="Thur",4,IF(C58="Fri",5,IF(C58="Sat",6,7))))))</f>
        <v>4</v>
      </c>
      <c r="M58" s="13">
        <f>IF(D58="Lunch",0,1)</f>
        <v>0</v>
      </c>
      <c r="N58" s="13">
        <v>2</v>
      </c>
      <c r="O58" s="13">
        <v>13.03</v>
      </c>
      <c r="P58" s="13">
        <v>2</v>
      </c>
      <c r="Q58" s="15">
        <f>P58/O58</f>
        <v>0.15349194167306218</v>
      </c>
      <c r="R58" s="15">
        <f>AVERAGE(IF(A58="Female",GETPIVOTDATA("tip %",$W$26,"sex","Female"),GETPIVOTDATA("tip %",$W$26,"sex","Male")),IF(K58=0,GETPIVOTDATA("tip %",$AA$26,"smoker","No"),GETPIVOTDATA("tip %",$AA$26,"smoker","Yes")),IF(C58=$W$33,GETPIVOTDATA("tip %",$W$32,"day","Thur"),IF(C58=$W$34,GETPIVOTDATA("tip %",$W$32,"day","Fri"),IF(C58=$W$35,GETPIVOTDATA("tip %",$W$32,"day","Sat"),IF(C58=$W$36,GETPIVOTDATA("tip %",$W$32,"day","Sun"),GETPIVOTDATA("tip %",$W$32))))),IF(D58=$AE$27,GETPIVOTDATA("tip %",$AE$26,"time","Dinner"),GETPIVOTDATA("tip %",$AE$26,"time","Lunch")),IF(N58=$AA$33,GETPIVOTDATA("Average of tip %",$AA$32,"size",1),IF(N58=$AA$34,GETPIVOTDATA("Average of tip %",$AA$32,"size",2),IF(N58=$AA$35,GETPIVOTDATA("Average of tip %",$AA$32,"size",3),IF(N58=$AA$36,GETPIVOTDATA("Average of tip %",$AA$32,"size",4),IF(N58=$AA$37,GETPIVOTDATA("Average of tip %",$AA$32,"size",5),GETPIVOTDATA("Average of tip %",$AA$32,"size",6)))))))</f>
        <v>0.16239386910103129</v>
      </c>
      <c r="S58" s="14">
        <f t="shared" si="0"/>
        <v>2.836035010463859</v>
      </c>
      <c r="T58" s="17">
        <f t="shared" si="1"/>
        <v>2.1159921143864375</v>
      </c>
      <c r="U58" s="12">
        <f t="shared" si="2"/>
        <v>2.4760135624251483</v>
      </c>
    </row>
    <row r="59" spans="1:24" x14ac:dyDescent="0.2">
      <c r="A59" t="s">
        <v>11</v>
      </c>
      <c r="B59" t="s">
        <v>8</v>
      </c>
      <c r="C59" t="s">
        <v>23</v>
      </c>
      <c r="D59" t="s">
        <v>24</v>
      </c>
      <c r="E59">
        <v>2</v>
      </c>
      <c r="F59">
        <v>7.51</v>
      </c>
      <c r="G59">
        <v>2</v>
      </c>
      <c r="H59" s="5">
        <f>G59/F59</f>
        <v>0.26631158455392812</v>
      </c>
      <c r="J59" s="16">
        <f>IF(A59="Male",0, 1)</f>
        <v>0</v>
      </c>
      <c r="K59" s="13">
        <f>IF(B59="No",0, 1)</f>
        <v>0</v>
      </c>
      <c r="L59" s="13">
        <f>IF(C59="Mon",1,IF(C59="Tues",2,IF(C59="Wed",3,IF(C59="Thur",4,IF(C59="Fri",5,IF(C59="Sat",6,7))))))</f>
        <v>4</v>
      </c>
      <c r="M59" s="13">
        <f>IF(D59="Lunch",0,1)</f>
        <v>0</v>
      </c>
      <c r="N59" s="13">
        <v>2</v>
      </c>
      <c r="O59" s="13">
        <v>13.13</v>
      </c>
      <c r="P59" s="13">
        <v>2</v>
      </c>
      <c r="Q59" s="15">
        <f>P59/O59</f>
        <v>0.15232292460015232</v>
      </c>
      <c r="R59" s="15">
        <f>AVERAGE(IF(A59="Female",GETPIVOTDATA("tip %",$W$26,"sex","Female"),GETPIVOTDATA("tip %",$W$26,"sex","Male")),IF(K59=0,GETPIVOTDATA("tip %",$AA$26,"smoker","No"),GETPIVOTDATA("tip %",$AA$26,"smoker","Yes")),IF(C59=$W$33,GETPIVOTDATA("tip %",$W$32,"day","Thur"),IF(C59=$W$34,GETPIVOTDATA("tip %",$W$32,"day","Fri"),IF(C59=$W$35,GETPIVOTDATA("tip %",$W$32,"day","Sat"),IF(C59=$W$36,GETPIVOTDATA("tip %",$W$32,"day","Sun"),GETPIVOTDATA("tip %",$W$32))))),IF(D59=$AE$27,GETPIVOTDATA("tip %",$AE$26,"time","Dinner"),GETPIVOTDATA("tip %",$AE$26,"time","Lunch")),IF(N59=$AA$33,GETPIVOTDATA("Average of tip %",$AA$32,"size",1),IF(N59=$AA$34,GETPIVOTDATA("Average of tip %",$AA$32,"size",2),IF(N59=$AA$35,GETPIVOTDATA("Average of tip %",$AA$32,"size",3),IF(N59=$AA$36,GETPIVOTDATA("Average of tip %",$AA$32,"size",4),IF(N59=$AA$37,GETPIVOTDATA("Average of tip %",$AA$32,"size",5),GETPIVOTDATA("Average of tip %",$AA$32,"size",6)))))))</f>
        <v>0.16162035260949875</v>
      </c>
      <c r="S59" s="14">
        <f t="shared" si="0"/>
        <v>2.8326639359071408</v>
      </c>
      <c r="T59" s="17">
        <f t="shared" si="1"/>
        <v>2.1220752297627188</v>
      </c>
      <c r="U59" s="12">
        <f t="shared" si="2"/>
        <v>2.47736958283493</v>
      </c>
    </row>
    <row r="60" spans="1:24" x14ac:dyDescent="0.2">
      <c r="A60" t="s">
        <v>11</v>
      </c>
      <c r="B60" t="s">
        <v>8</v>
      </c>
      <c r="C60" t="s">
        <v>9</v>
      </c>
      <c r="D60" t="s">
        <v>10</v>
      </c>
      <c r="E60">
        <v>2</v>
      </c>
      <c r="F60">
        <v>13.13</v>
      </c>
      <c r="G60">
        <v>2</v>
      </c>
      <c r="H60" s="5">
        <f>G60/F60</f>
        <v>0.15232292460015232</v>
      </c>
      <c r="J60" s="16">
        <f>IF(A60="Male",0, 1)</f>
        <v>0</v>
      </c>
      <c r="K60" s="13">
        <f>IF(B60="No",0, 1)</f>
        <v>0</v>
      </c>
      <c r="L60" s="13">
        <f>IF(C60="Mon",1,IF(C60="Tues",2,IF(C60="Wed",3,IF(C60="Thur",4,IF(C60="Fri",5,IF(C60="Sat",6,7))))))</f>
        <v>7</v>
      </c>
      <c r="M60" s="13">
        <f>IF(D60="Lunch",0,1)</f>
        <v>1</v>
      </c>
      <c r="N60" s="13">
        <v>2</v>
      </c>
      <c r="O60" s="13">
        <v>13.16</v>
      </c>
      <c r="P60" s="13">
        <v>2.75</v>
      </c>
      <c r="Q60" s="15">
        <f>P60/O60</f>
        <v>0.20896656534954408</v>
      </c>
      <c r="R60" s="15">
        <f>AVERAGE(IF(A60="Female",GETPIVOTDATA("tip %",$W$26,"sex","Female"),GETPIVOTDATA("tip %",$W$26,"sex","Male")),IF(K60=0,GETPIVOTDATA("tip %",$AA$26,"smoker","No"),GETPIVOTDATA("tip %",$AA$26,"smoker","Yes")),IF(C60=$W$33,GETPIVOTDATA("tip %",$W$32,"day","Thur"),IF(C60=$W$34,GETPIVOTDATA("tip %",$W$32,"day","Fri"),IF(C60=$W$35,GETPIVOTDATA("tip %",$W$32,"day","Sat"),IF(C60=$W$36,GETPIVOTDATA("tip %",$W$32,"day","Sun"),GETPIVOTDATA("tip %",$W$32))))),IF(D60=$AE$27,GETPIVOTDATA("tip %",$AE$26,"time","Dinner"),GETPIVOTDATA("tip %",$AE$26,"time","Lunch")),IF(N60=$AA$33,GETPIVOTDATA("Average of tip %",$AA$32,"size",1),IF(N60=$AA$34,GETPIVOTDATA("Average of tip %",$AA$32,"size",2),IF(N60=$AA$35,GETPIVOTDATA("Average of tip %",$AA$32,"size",3),IF(N60=$AA$36,GETPIVOTDATA("Average of tip %",$AA$32,"size",4),IF(N60=$AA$37,GETPIVOTDATA("Average of tip %",$AA$32,"size",5),GETPIVOTDATA("Average of tip %",$AA$32,"size",6)))))))</f>
        <v>0.16182265520985073</v>
      </c>
      <c r="S60" s="14">
        <f t="shared" si="0"/>
        <v>3.0043163729662368</v>
      </c>
      <c r="T60" s="17">
        <f t="shared" si="1"/>
        <v>2.1295861425616356</v>
      </c>
      <c r="U60" s="12">
        <f t="shared" si="2"/>
        <v>2.566951257763936</v>
      </c>
      <c r="V60">
        <v>7</v>
      </c>
      <c r="W60" s="2" t="s">
        <v>32</v>
      </c>
    </row>
    <row r="61" spans="1:24" x14ac:dyDescent="0.2">
      <c r="A61" t="s">
        <v>11</v>
      </c>
      <c r="B61" t="s">
        <v>8</v>
      </c>
      <c r="C61" t="s">
        <v>9</v>
      </c>
      <c r="D61" t="s">
        <v>10</v>
      </c>
      <c r="E61">
        <v>2</v>
      </c>
      <c r="F61">
        <v>13.81</v>
      </c>
      <c r="G61">
        <v>2</v>
      </c>
      <c r="H61" s="5">
        <f>G61/F61</f>
        <v>0.14482259232440259</v>
      </c>
      <c r="J61" s="16">
        <f>IF(A61="Male",0, 1)</f>
        <v>0</v>
      </c>
      <c r="K61" s="13">
        <f>IF(B61="No",0, 1)</f>
        <v>0</v>
      </c>
      <c r="L61" s="13">
        <f>IF(C61="Mon",1,IF(C61="Tues",2,IF(C61="Wed",3,IF(C61="Thur",4,IF(C61="Fri",5,IF(C61="Sat",6,7))))))</f>
        <v>7</v>
      </c>
      <c r="M61" s="13">
        <f>IF(D61="Lunch",0,1)</f>
        <v>1</v>
      </c>
      <c r="N61" s="13">
        <v>2</v>
      </c>
      <c r="O61" s="13">
        <v>13.27</v>
      </c>
      <c r="P61" s="13">
        <v>2.5</v>
      </c>
      <c r="Q61" s="15">
        <f>P61/O61</f>
        <v>0.18839487565938207</v>
      </c>
      <c r="R61" s="15">
        <f>AVERAGE(IF(A61="Female",GETPIVOTDATA("tip %",$W$26,"sex","Female"),GETPIVOTDATA("tip %",$W$26,"sex","Male")),IF(K61=0,GETPIVOTDATA("tip %",$AA$26,"smoker","No"),GETPIVOTDATA("tip %",$AA$26,"smoker","Yes")),IF(C61=$W$33,GETPIVOTDATA("tip %",$W$32,"day","Thur"),IF(C61=$W$34,GETPIVOTDATA("tip %",$W$32,"day","Fri"),IF(C61=$W$35,GETPIVOTDATA("tip %",$W$32,"day","Sat"),IF(C61=$W$36,GETPIVOTDATA("tip %",$W$32,"day","Sun"),GETPIVOTDATA("tip %",$W$32))))),IF(D61=$AE$27,GETPIVOTDATA("tip %",$AE$26,"time","Dinner"),GETPIVOTDATA("tip %",$AE$26,"time","Lunch")),IF(N61=$AA$33,GETPIVOTDATA("Average of tip %",$AA$32,"size",1),IF(N61=$AA$34,GETPIVOTDATA("Average of tip %",$AA$32,"size",2),IF(N61=$AA$35,GETPIVOTDATA("Average of tip %",$AA$32,"size",3),IF(N61=$AA$36,GETPIVOTDATA("Average of tip %",$AA$32,"size",4),IF(N61=$AA$37,GETPIVOTDATA("Average of tip %",$AA$32,"size",5),GETPIVOTDATA("Average of tip %",$AA$32,"size",6)))))))</f>
        <v>0.16182265520985073</v>
      </c>
      <c r="S61" s="14">
        <f t="shared" si="0"/>
        <v>3.0043163729662368</v>
      </c>
      <c r="T61" s="17">
        <f t="shared" si="1"/>
        <v>2.147386634634719</v>
      </c>
      <c r="U61" s="12">
        <f t="shared" si="2"/>
        <v>2.5758515038004779</v>
      </c>
      <c r="W61" t="s">
        <v>58</v>
      </c>
      <c r="X61">
        <f>SQRT(SUMXMY2(P2:P245, S2:S245))/COUNTA(P2:P245)</f>
        <v>8.5296791682463471E-2</v>
      </c>
    </row>
    <row r="62" spans="1:24" x14ac:dyDescent="0.2">
      <c r="A62" t="s">
        <v>7</v>
      </c>
      <c r="B62" t="s">
        <v>22</v>
      </c>
      <c r="C62" t="s">
        <v>21</v>
      </c>
      <c r="D62" t="s">
        <v>10</v>
      </c>
      <c r="E62">
        <v>2</v>
      </c>
      <c r="F62">
        <v>10.63</v>
      </c>
      <c r="G62">
        <v>2</v>
      </c>
      <c r="H62" s="5">
        <f>G62/F62</f>
        <v>0.18814675446848542</v>
      </c>
      <c r="J62" s="16">
        <f>IF(A62="Male",0, 1)</f>
        <v>1</v>
      </c>
      <c r="K62" s="13">
        <f>IF(B62="No",0, 1)</f>
        <v>1</v>
      </c>
      <c r="L62" s="13">
        <f>IF(C62="Mon",1,IF(C62="Tues",2,IF(C62="Wed",3,IF(C62="Thur",4,IF(C62="Fri",5,IF(C62="Sat",6,7))))))</f>
        <v>6</v>
      </c>
      <c r="M62" s="13">
        <f>IF(D62="Lunch",0,1)</f>
        <v>1</v>
      </c>
      <c r="N62" s="13">
        <v>2</v>
      </c>
      <c r="O62" s="13">
        <v>13.28</v>
      </c>
      <c r="P62" s="13">
        <v>2.72</v>
      </c>
      <c r="Q62" s="15">
        <f>P62/O62</f>
        <v>0.20481927710843376</v>
      </c>
      <c r="R62" s="15">
        <f>AVERAGE(IF(A62="Female",GETPIVOTDATA("tip %",$W$26,"sex","Female"),GETPIVOTDATA("tip %",$W$26,"sex","Male")),IF(K62=0,GETPIVOTDATA("tip %",$AA$26,"smoker","No"),GETPIVOTDATA("tip %",$AA$26,"smoker","Yes")),IF(C62=$W$33,GETPIVOTDATA("tip %",$W$32,"day","Thur"),IF(C62=$W$34,GETPIVOTDATA("tip %",$W$32,"day","Fri"),IF(C62=$W$35,GETPIVOTDATA("tip %",$W$32,"day","Sat"),IF(C62=$W$36,GETPIVOTDATA("tip %",$W$32,"day","Sun"),GETPIVOTDATA("tip %",$W$32))))),IF(D62=$AE$27,GETPIVOTDATA("tip %",$AE$26,"time","Dinner"),GETPIVOTDATA("tip %",$AE$26,"time","Lunch")),IF(N62=$AA$33,GETPIVOTDATA("Average of tip %",$AA$32,"size",1),IF(N62=$AA$34,GETPIVOTDATA("Average of tip %",$AA$32,"size",2),IF(N62=$AA$35,GETPIVOTDATA("Average of tip %",$AA$32,"size",3),IF(N62=$AA$36,GETPIVOTDATA("Average of tip %",$AA$32,"size",4),IF(N62=$AA$37,GETPIVOTDATA("Average of tip %",$AA$32,"size",5),GETPIVOTDATA("Average of tip %",$AA$32,"size",6)))))))</f>
        <v>0.16161509557363743</v>
      </c>
      <c r="S62" s="14">
        <f t="shared" si="0"/>
        <v>2.9040479096820868</v>
      </c>
      <c r="T62" s="17">
        <f t="shared" si="1"/>
        <v>2.1462484692179049</v>
      </c>
      <c r="U62" s="12">
        <f t="shared" si="2"/>
        <v>2.5251481894499959</v>
      </c>
      <c r="W62" t="s">
        <v>38</v>
      </c>
      <c r="X62" s="11">
        <f>SQRT(SUMXMY2(Q2:Q245, R2:R245))/COUNTA(Q2:Q245)</f>
        <v>3.8816219238967291E-3</v>
      </c>
    </row>
    <row r="63" spans="1:24" x14ac:dyDescent="0.2">
      <c r="A63" t="s">
        <v>11</v>
      </c>
      <c r="B63" t="s">
        <v>22</v>
      </c>
      <c r="C63" t="s">
        <v>9</v>
      </c>
      <c r="D63" t="s">
        <v>10</v>
      </c>
      <c r="E63">
        <v>2</v>
      </c>
      <c r="F63">
        <v>17.89</v>
      </c>
      <c r="G63">
        <v>2</v>
      </c>
      <c r="H63" s="5">
        <f>G63/F63</f>
        <v>0.11179429849077696</v>
      </c>
      <c r="J63" s="16">
        <f>IF(A63="Male",0, 1)</f>
        <v>0</v>
      </c>
      <c r="K63" s="13">
        <f>IF(B63="No",0, 1)</f>
        <v>1</v>
      </c>
      <c r="L63" s="13">
        <f>IF(C63="Mon",1,IF(C63="Tues",2,IF(C63="Wed",3,IF(C63="Thur",4,IF(C63="Fri",5,IF(C63="Sat",6,7))))))</f>
        <v>7</v>
      </c>
      <c r="M63" s="13">
        <f>IF(D63="Lunch",0,1)</f>
        <v>1</v>
      </c>
      <c r="N63" s="13">
        <v>2</v>
      </c>
      <c r="O63" s="13">
        <v>13.37</v>
      </c>
      <c r="P63" s="13">
        <v>2</v>
      </c>
      <c r="Q63" s="15">
        <f>P63/O63</f>
        <v>0.14958863126402394</v>
      </c>
      <c r="R63" s="15">
        <f>AVERAGE(IF(A63="Female",GETPIVOTDATA("tip %",$W$26,"sex","Female"),GETPIVOTDATA("tip %",$W$26,"sex","Male")),IF(K63=0,GETPIVOTDATA("tip %",$AA$26,"smoker","No"),GETPIVOTDATA("tip %",$AA$26,"smoker","Yes")),IF(C63=$W$33,GETPIVOTDATA("tip %",$W$32,"day","Thur"),IF(C63=$W$34,GETPIVOTDATA("tip %",$W$32,"day","Fri"),IF(C63=$W$35,GETPIVOTDATA("tip %",$W$32,"day","Sat"),IF(C63=$W$36,GETPIVOTDATA("tip %",$W$32,"day","Sun"),GETPIVOTDATA("tip %",$W$32))))),IF(D63=$AE$27,GETPIVOTDATA("tip %",$AE$26,"time","Dinner"),GETPIVOTDATA("tip %",$AE$26,"time","Lunch")),IF(N63=$AA$33,GETPIVOTDATA("Average of tip %",$AA$32,"size",1),IF(N63=$AA$34,GETPIVOTDATA("Average of tip %",$AA$32,"size",2),IF(N63=$AA$35,GETPIVOTDATA("Average of tip %",$AA$32,"size",3),IF(N63=$AA$36,GETPIVOTDATA("Average of tip %",$AA$32,"size",4),IF(N63=$AA$37,GETPIVOTDATA("Average of tip %",$AA$32,"size",5),GETPIVOTDATA("Average of tip %",$AA$32,"size",6)))))))</f>
        <v>0.16259617170138324</v>
      </c>
      <c r="S63" s="14">
        <f t="shared" si="0"/>
        <v>3.0076874475229554</v>
      </c>
      <c r="T63" s="17">
        <f t="shared" si="1"/>
        <v>2.1739108156474938</v>
      </c>
      <c r="U63" s="12">
        <f t="shared" si="2"/>
        <v>2.5907991315852246</v>
      </c>
      <c r="W63" t="s">
        <v>69</v>
      </c>
    </row>
    <row r="64" spans="1:24" x14ac:dyDescent="0.2">
      <c r="A64" t="s">
        <v>11</v>
      </c>
      <c r="B64" t="s">
        <v>22</v>
      </c>
      <c r="C64" t="s">
        <v>9</v>
      </c>
      <c r="D64" t="s">
        <v>10</v>
      </c>
      <c r="E64">
        <v>2</v>
      </c>
      <c r="F64">
        <v>14.48</v>
      </c>
      <c r="G64">
        <v>2</v>
      </c>
      <c r="H64" s="5">
        <f>G64/F64</f>
        <v>0.13812154696132597</v>
      </c>
      <c r="J64" s="16">
        <f>IF(A64="Male",0, 1)</f>
        <v>0</v>
      </c>
      <c r="K64" s="13">
        <f>IF(B64="No",0, 1)</f>
        <v>1</v>
      </c>
      <c r="L64" s="13">
        <f>IF(C64="Mon",1,IF(C64="Tues",2,IF(C64="Wed",3,IF(C64="Thur",4,IF(C64="Fri",5,IF(C64="Sat",6,7))))))</f>
        <v>7</v>
      </c>
      <c r="M64" s="13">
        <f>IF(D64="Lunch",0,1)</f>
        <v>1</v>
      </c>
      <c r="N64" s="13">
        <v>2</v>
      </c>
      <c r="O64" s="13">
        <v>13.39</v>
      </c>
      <c r="P64" s="13">
        <v>2.61</v>
      </c>
      <c r="Q64" s="15">
        <f>P64/O64</f>
        <v>0.19492158327109782</v>
      </c>
      <c r="R64" s="15">
        <f>AVERAGE(IF(A64="Female",GETPIVOTDATA("tip %",$W$26,"sex","Female"),GETPIVOTDATA("tip %",$W$26,"sex","Male")),IF(K64=0,GETPIVOTDATA("tip %",$AA$26,"smoker","No"),GETPIVOTDATA("tip %",$AA$26,"smoker","Yes")),IF(C64=$W$33,GETPIVOTDATA("tip %",$W$32,"day","Thur"),IF(C64=$W$34,GETPIVOTDATA("tip %",$W$32,"day","Fri"),IF(C64=$W$35,GETPIVOTDATA("tip %",$W$32,"day","Sat"),IF(C64=$W$36,GETPIVOTDATA("tip %",$W$32,"day","Sun"),GETPIVOTDATA("tip %",$W$32))))),IF(D64=$AE$27,GETPIVOTDATA("tip %",$AE$26,"time","Dinner"),GETPIVOTDATA("tip %",$AE$26,"time","Lunch")),IF(N64=$AA$33,GETPIVOTDATA("Average of tip %",$AA$32,"size",1),IF(N64=$AA$34,GETPIVOTDATA("Average of tip %",$AA$32,"size",2),IF(N64=$AA$35,GETPIVOTDATA("Average of tip %",$AA$32,"size",3),IF(N64=$AA$36,GETPIVOTDATA("Average of tip %",$AA$32,"size",4),IF(N64=$AA$37,GETPIVOTDATA("Average of tip %",$AA$32,"size",5),GETPIVOTDATA("Average of tip %",$AA$32,"size",6)))))))</f>
        <v>0.16259617170138324</v>
      </c>
      <c r="S64" s="14">
        <f t="shared" si="0"/>
        <v>3.0076874475229554</v>
      </c>
      <c r="T64" s="17">
        <f t="shared" si="1"/>
        <v>2.1771627390815218</v>
      </c>
      <c r="U64" s="12">
        <f t="shared" si="2"/>
        <v>2.5924250933022384</v>
      </c>
    </row>
    <row r="65" spans="1:21" x14ac:dyDescent="0.2">
      <c r="A65" t="s">
        <v>11</v>
      </c>
      <c r="B65" t="s">
        <v>22</v>
      </c>
      <c r="C65" t="s">
        <v>23</v>
      </c>
      <c r="D65" t="s">
        <v>24</v>
      </c>
      <c r="E65">
        <v>2</v>
      </c>
      <c r="F65">
        <v>10.34</v>
      </c>
      <c r="G65">
        <v>2</v>
      </c>
      <c r="H65" s="5">
        <f>G65/F65</f>
        <v>0.19342359767891684</v>
      </c>
      <c r="J65" s="16">
        <f>IF(A65="Male",0, 1)</f>
        <v>0</v>
      </c>
      <c r="K65" s="13">
        <f>IF(B65="No",0, 1)</f>
        <v>1</v>
      </c>
      <c r="L65" s="13">
        <f>IF(C65="Mon",1,IF(C65="Tues",2,IF(C65="Wed",3,IF(C65="Thur",4,IF(C65="Fri",5,IF(C65="Sat",6,7))))))</f>
        <v>4</v>
      </c>
      <c r="M65" s="13">
        <f>IF(D65="Lunch",0,1)</f>
        <v>0</v>
      </c>
      <c r="N65" s="13">
        <v>2</v>
      </c>
      <c r="O65" s="13">
        <v>13.42</v>
      </c>
      <c r="P65" s="13">
        <v>3.48</v>
      </c>
      <c r="Q65" s="15">
        <f>P65/O65</f>
        <v>0.25931445603576753</v>
      </c>
      <c r="R65" s="15">
        <f>AVERAGE(IF(A65="Female",GETPIVOTDATA("tip %",$W$26,"sex","Female"),GETPIVOTDATA("tip %",$W$26,"sex","Male")),IF(K65=0,GETPIVOTDATA("tip %",$AA$26,"smoker","No"),GETPIVOTDATA("tip %",$AA$26,"smoker","Yes")),IF(C65=$W$33,GETPIVOTDATA("tip %",$W$32,"day","Thur"),IF(C65=$W$34,GETPIVOTDATA("tip %",$W$32,"day","Fri"),IF(C65=$W$35,GETPIVOTDATA("tip %",$W$32,"day","Sat"),IF(C65=$W$36,GETPIVOTDATA("tip %",$W$32,"day","Sun"),GETPIVOTDATA("tip %",$W$32))))),IF(D65=$AE$27,GETPIVOTDATA("tip %",$AE$26,"time","Dinner"),GETPIVOTDATA("tip %",$AE$26,"time","Lunch")),IF(N65=$AA$33,GETPIVOTDATA("Average of tip %",$AA$32,"size",1),IF(N65=$AA$34,GETPIVOTDATA("Average of tip %",$AA$32,"size",2),IF(N65=$AA$35,GETPIVOTDATA("Average of tip %",$AA$32,"size",3),IF(N65=$AA$36,GETPIVOTDATA("Average of tip %",$AA$32,"size",4),IF(N65=$AA$37,GETPIVOTDATA("Average of tip %",$AA$32,"size",5),GETPIVOTDATA("Average of tip %",$AA$32,"size",6)))))))</f>
        <v>0.16239386910103129</v>
      </c>
      <c r="S65" s="14">
        <f t="shared" si="0"/>
        <v>2.836035010463859</v>
      </c>
      <c r="T65" s="17">
        <f t="shared" si="1"/>
        <v>2.1793257233358401</v>
      </c>
      <c r="U65" s="12">
        <f t="shared" si="2"/>
        <v>2.5076803668998497</v>
      </c>
    </row>
    <row r="66" spans="1:21" x14ac:dyDescent="0.2">
      <c r="A66" t="s">
        <v>7</v>
      </c>
      <c r="B66" t="s">
        <v>22</v>
      </c>
      <c r="C66" t="s">
        <v>23</v>
      </c>
      <c r="D66" t="s">
        <v>24</v>
      </c>
      <c r="E66">
        <v>2</v>
      </c>
      <c r="F66">
        <v>13</v>
      </c>
      <c r="G66">
        <v>2</v>
      </c>
      <c r="H66" s="5">
        <f>G66/F66</f>
        <v>0.15384615384615385</v>
      </c>
      <c r="J66" s="16">
        <f>IF(A66="Male",0, 1)</f>
        <v>1</v>
      </c>
      <c r="K66" s="13">
        <f>IF(B66="No",0, 1)</f>
        <v>1</v>
      </c>
      <c r="L66" s="13">
        <f>IF(C66="Mon",1,IF(C66="Tues",2,IF(C66="Wed",3,IF(C66="Thur",4,IF(C66="Fri",5,IF(C66="Sat",6,7))))))</f>
        <v>4</v>
      </c>
      <c r="M66" s="13">
        <f>IF(D66="Lunch",0,1)</f>
        <v>0</v>
      </c>
      <c r="N66" s="13">
        <v>2</v>
      </c>
      <c r="O66" s="13">
        <v>13.42</v>
      </c>
      <c r="P66" s="13">
        <v>1.58</v>
      </c>
      <c r="Q66" s="15">
        <f>P66/O66</f>
        <v>0.11773472429210134</v>
      </c>
      <c r="R66" s="15">
        <f>AVERAGE(IF(A66="Female",GETPIVOTDATA("tip %",$W$26,"sex","Female"),GETPIVOTDATA("tip %",$W$26,"sex","Male")),IF(K66=0,GETPIVOTDATA("tip %",$AA$26,"smoker","No"),GETPIVOTDATA("tip %",$AA$26,"smoker","Yes")),IF(C66=$W$33,GETPIVOTDATA("tip %",$W$32,"day","Thur"),IF(C66=$W$34,GETPIVOTDATA("tip %",$W$32,"day","Fri"),IF(C66=$W$35,GETPIVOTDATA("tip %",$W$32,"day","Sat"),IF(C66=$W$36,GETPIVOTDATA("tip %",$W$32,"day","Sun"),GETPIVOTDATA("tip %",$W$32))))),IF(D66=$AE$27,GETPIVOTDATA("tip %",$AE$26,"time","Dinner"),GETPIVOTDATA("tip %",$AE$26,"time","Lunch")),IF(N66=$AA$33,GETPIVOTDATA("Average of tip %",$AA$32,"size",1),IF(N66=$AA$34,GETPIVOTDATA("Average of tip %",$AA$32,"size",2),IF(N66=$AA$35,GETPIVOTDATA("Average of tip %",$AA$32,"size",3),IF(N66=$AA$36,GETPIVOTDATA("Average of tip %",$AA$32,"size",4),IF(N66=$AA$37,GETPIVOTDATA("Average of tip %",$AA$32,"size",5),GETPIVOTDATA("Average of tip %",$AA$32,"size",6)))))))</f>
        <v>0.16416190696595673</v>
      </c>
      <c r="S66" s="14">
        <f t="shared" si="0"/>
        <v>2.784801098757292</v>
      </c>
      <c r="T66" s="17">
        <f t="shared" si="1"/>
        <v>2.2030527914831395</v>
      </c>
      <c r="U66" s="12">
        <f t="shared" si="2"/>
        <v>2.493926945120216</v>
      </c>
    </row>
    <row r="67" spans="1:21" x14ac:dyDescent="0.2">
      <c r="A67" t="s">
        <v>11</v>
      </c>
      <c r="B67" t="s">
        <v>22</v>
      </c>
      <c r="C67" t="s">
        <v>23</v>
      </c>
      <c r="D67" t="s">
        <v>24</v>
      </c>
      <c r="E67">
        <v>2</v>
      </c>
      <c r="F67">
        <v>13.51</v>
      </c>
      <c r="G67">
        <v>2</v>
      </c>
      <c r="H67" s="5">
        <f>G67/F67</f>
        <v>0.14803849000740193</v>
      </c>
      <c r="J67" s="16">
        <f>IF(A67="Male",0, 1)</f>
        <v>0</v>
      </c>
      <c r="K67" s="13">
        <f>IF(B67="No",0, 1)</f>
        <v>1</v>
      </c>
      <c r="L67" s="13">
        <f>IF(C67="Mon",1,IF(C67="Tues",2,IF(C67="Wed",3,IF(C67="Thur",4,IF(C67="Fri",5,IF(C67="Sat",6,7))))))</f>
        <v>4</v>
      </c>
      <c r="M67" s="13">
        <f>IF(D67="Lunch",0,1)</f>
        <v>0</v>
      </c>
      <c r="N67" s="13">
        <v>2</v>
      </c>
      <c r="O67" s="13">
        <v>13.42</v>
      </c>
      <c r="P67" s="13">
        <v>1.68</v>
      </c>
      <c r="Q67" s="15">
        <f>P67/O67</f>
        <v>0.12518628912071533</v>
      </c>
      <c r="R67" s="15">
        <f>AVERAGE(IF(A67="Female",GETPIVOTDATA("tip %",$W$26,"sex","Female"),GETPIVOTDATA("tip %",$W$26,"sex","Male")),IF(K67=0,GETPIVOTDATA("tip %",$AA$26,"smoker","No"),GETPIVOTDATA("tip %",$AA$26,"smoker","Yes")),IF(C67=$W$33,GETPIVOTDATA("tip %",$W$32,"day","Thur"),IF(C67=$W$34,GETPIVOTDATA("tip %",$W$32,"day","Fri"),IF(C67=$W$35,GETPIVOTDATA("tip %",$W$32,"day","Sat"),IF(C67=$W$36,GETPIVOTDATA("tip %",$W$32,"day","Sun"),GETPIVOTDATA("tip %",$W$32))))),IF(D67=$AE$27,GETPIVOTDATA("tip %",$AE$26,"time","Dinner"),GETPIVOTDATA("tip %",$AE$26,"time","Lunch")),IF(N67=$AA$33,GETPIVOTDATA("Average of tip %",$AA$32,"size",1),IF(N67=$AA$34,GETPIVOTDATA("Average of tip %",$AA$32,"size",2),IF(N67=$AA$35,GETPIVOTDATA("Average of tip %",$AA$32,"size",3),IF(N67=$AA$36,GETPIVOTDATA("Average of tip %",$AA$32,"size",4),IF(N67=$AA$37,GETPIVOTDATA("Average of tip %",$AA$32,"size",5),GETPIVOTDATA("Average of tip %",$AA$32,"size",6)))))))</f>
        <v>0.16239386910103129</v>
      </c>
      <c r="S67" s="14">
        <f t="shared" ref="S67:S130" si="3">AVERAGE(IF(A67=$W$27,GETPIVOTDATA("Average of tip",$W$26,"sex","Female"),GETPIVOTDATA("Average of tip",$W$26,"sex","Male")),IF(B67=$AA$27,GETPIVOTDATA("Average of tip",$AA$26,"smoker","No"),GETPIVOTDATA("Average of tip",$AA$26,"smoker","Yes")),IF(C67=$W$33,GETPIVOTDATA("Average of tip",$W$32,"day","Thur"),IF(C67=$W$34,GETPIVOTDATA("Average of tip",$W$32,"day","Fri"),IF(C67=$W$35,GETPIVOTDATA("Average of tip",$W$32,"day","Sat"),GETPIVOTDATA("Average of tip",$W$32,"day","Sun")))),IF(D67=$AE$27,GETPIVOTDATA("Average of tip",$AE$26,"time","Dinner"),GETPIVOTDATA("Average of tip",$AE$26,"time","Lunch")),IF(E67=$AA$33,GETPIVOTDATA("Average of tip",$AA$32,"size",1),IF(E67=$AA$34,GETPIVOTDATA("Average of tip",$AA$32,"size",2),IF(E67=$AA$35,GETPIVOTDATA("Average of tip",$AA$32,"size",3),IF(E67=$AA$36,GETPIVOTDATA("Average of tip",$AA$32,"size",4),IF(E67=$AA$37,GETPIVOTDATA("Average of tip",$AA$32,"size",5),GETPIVOTDATA("Average of tip",$AA$32,"size",6)))))))</f>
        <v>2.836035010463859</v>
      </c>
      <c r="T67" s="17">
        <f t="shared" ref="T67:T130" si="4">R67*O67</f>
        <v>2.1793257233358401</v>
      </c>
      <c r="U67" s="12">
        <f t="shared" ref="U67:U130" si="5">AVERAGE(S67,T67)</f>
        <v>2.5076803668998497</v>
      </c>
    </row>
    <row r="68" spans="1:21" x14ac:dyDescent="0.2">
      <c r="A68" t="s">
        <v>7</v>
      </c>
      <c r="B68" t="s">
        <v>22</v>
      </c>
      <c r="C68" t="s">
        <v>23</v>
      </c>
      <c r="D68" t="s">
        <v>24</v>
      </c>
      <c r="E68">
        <v>2</v>
      </c>
      <c r="F68">
        <v>13</v>
      </c>
      <c r="G68">
        <v>2</v>
      </c>
      <c r="H68" s="5">
        <f>G68/F68</f>
        <v>0.15384615384615385</v>
      </c>
      <c r="J68" s="16">
        <f>IF(A68="Male",0, 1)</f>
        <v>1</v>
      </c>
      <c r="K68" s="13">
        <f>IF(B68="No",0, 1)</f>
        <v>1</v>
      </c>
      <c r="L68" s="13">
        <f>IF(C68="Mon",1,IF(C68="Tues",2,IF(C68="Wed",3,IF(C68="Thur",4,IF(C68="Fri",5,IF(C68="Sat",6,7))))))</f>
        <v>4</v>
      </c>
      <c r="M68" s="13">
        <f>IF(D68="Lunch",0,1)</f>
        <v>0</v>
      </c>
      <c r="N68" s="13">
        <v>2</v>
      </c>
      <c r="O68" s="13">
        <v>13.51</v>
      </c>
      <c r="P68" s="13">
        <v>2</v>
      </c>
      <c r="Q68" s="15">
        <f>P68/O68</f>
        <v>0.14803849000740193</v>
      </c>
      <c r="R68" s="15">
        <f>AVERAGE(IF(A68="Female",GETPIVOTDATA("tip %",$W$26,"sex","Female"),GETPIVOTDATA("tip %",$W$26,"sex","Male")),IF(K68=0,GETPIVOTDATA("tip %",$AA$26,"smoker","No"),GETPIVOTDATA("tip %",$AA$26,"smoker","Yes")),IF(C68=$W$33,GETPIVOTDATA("tip %",$W$32,"day","Thur"),IF(C68=$W$34,GETPIVOTDATA("tip %",$W$32,"day","Fri"),IF(C68=$W$35,GETPIVOTDATA("tip %",$W$32,"day","Sat"),IF(C68=$W$36,GETPIVOTDATA("tip %",$W$32,"day","Sun"),GETPIVOTDATA("tip %",$W$32))))),IF(D68=$AE$27,GETPIVOTDATA("tip %",$AE$26,"time","Dinner"),GETPIVOTDATA("tip %",$AE$26,"time","Lunch")),IF(N68=$AA$33,GETPIVOTDATA("Average of tip %",$AA$32,"size",1),IF(N68=$AA$34,GETPIVOTDATA("Average of tip %",$AA$32,"size",2),IF(N68=$AA$35,GETPIVOTDATA("Average of tip %",$AA$32,"size",3),IF(N68=$AA$36,GETPIVOTDATA("Average of tip %",$AA$32,"size",4),IF(N68=$AA$37,GETPIVOTDATA("Average of tip %",$AA$32,"size",5),GETPIVOTDATA("Average of tip %",$AA$32,"size",6)))))))</f>
        <v>0.16416190696595673</v>
      </c>
      <c r="S68" s="14">
        <f t="shared" si="3"/>
        <v>2.784801098757292</v>
      </c>
      <c r="T68" s="17">
        <f t="shared" si="4"/>
        <v>2.2178273631100756</v>
      </c>
      <c r="U68" s="12">
        <f t="shared" si="5"/>
        <v>2.5013142309336835</v>
      </c>
    </row>
    <row r="69" spans="1:21" x14ac:dyDescent="0.2">
      <c r="A69" t="s">
        <v>7</v>
      </c>
      <c r="B69" t="s">
        <v>22</v>
      </c>
      <c r="C69" t="s">
        <v>25</v>
      </c>
      <c r="D69" t="s">
        <v>24</v>
      </c>
      <c r="E69">
        <v>2</v>
      </c>
      <c r="F69">
        <v>10.09</v>
      </c>
      <c r="G69">
        <v>2</v>
      </c>
      <c r="H69" s="5">
        <f>G69/F69</f>
        <v>0.19821605550049554</v>
      </c>
      <c r="J69" s="16">
        <f>IF(A69="Male",0, 1)</f>
        <v>1</v>
      </c>
      <c r="K69" s="13">
        <f>IF(B69="No",0, 1)</f>
        <v>1</v>
      </c>
      <c r="L69" s="13">
        <f>IF(C69="Mon",1,IF(C69="Tues",2,IF(C69="Wed",3,IF(C69="Thur",4,IF(C69="Fri",5,IF(C69="Sat",6,7))))))</f>
        <v>5</v>
      </c>
      <c r="M69" s="13">
        <f>IF(D69="Lunch",0,1)</f>
        <v>0</v>
      </c>
      <c r="N69" s="13">
        <v>2</v>
      </c>
      <c r="O69" s="13">
        <v>13.81</v>
      </c>
      <c r="P69" s="13">
        <v>2</v>
      </c>
      <c r="Q69" s="15">
        <f>P69/O69</f>
        <v>0.14482259232440259</v>
      </c>
      <c r="R69" s="15">
        <f>AVERAGE(IF(A69="Female",GETPIVOTDATA("tip %",$W$26,"sex","Female"),GETPIVOTDATA("tip %",$W$26,"sex","Male")),IF(K69=0,GETPIVOTDATA("tip %",$AA$26,"smoker","No"),GETPIVOTDATA("tip %",$AA$26,"smoker","Yes")),IF(C69=$W$33,GETPIVOTDATA("tip %",$W$32,"day","Thur"),IF(C69=$W$34,GETPIVOTDATA("tip %",$W$32,"day","Fri"),IF(C69=$W$35,GETPIVOTDATA("tip %",$W$32,"day","Sat"),IF(C69=$W$36,GETPIVOTDATA("tip %",$W$32,"day","Sun"),GETPIVOTDATA("tip %",$W$32))))),IF(D69=$AE$27,GETPIVOTDATA("tip %",$AE$26,"time","Dinner"),GETPIVOTDATA("tip %",$AE$26,"time","Lunch")),IF(N69=$AA$33,GETPIVOTDATA("Average of tip %",$AA$32,"size",1),IF(N69=$AA$34,GETPIVOTDATA("Average of tip %",$AA$32,"size",2),IF(N69=$AA$35,GETPIVOTDATA("Average of tip %",$AA$32,"size",3),IF(N69=$AA$36,GETPIVOTDATA("Average of tip %",$AA$32,"size",4),IF(N69=$AA$37,GETPIVOTDATA("Average of tip %",$AA$32,"size",5),GETPIVOTDATA("Average of tip %",$AA$32,"size",6)))))))</f>
        <v>0.16588938591932306</v>
      </c>
      <c r="S69" s="14">
        <f t="shared" si="3"/>
        <v>2.7774581445976994</v>
      </c>
      <c r="T69" s="17">
        <f t="shared" si="4"/>
        <v>2.2909324195458516</v>
      </c>
      <c r="U69" s="12">
        <f t="shared" si="5"/>
        <v>2.5341952820717752</v>
      </c>
    </row>
    <row r="70" spans="1:21" x14ac:dyDescent="0.2">
      <c r="A70" t="s">
        <v>7</v>
      </c>
      <c r="B70" t="s">
        <v>22</v>
      </c>
      <c r="C70" t="s">
        <v>21</v>
      </c>
      <c r="D70" t="s">
        <v>10</v>
      </c>
      <c r="E70">
        <v>2</v>
      </c>
      <c r="F70">
        <v>27.18</v>
      </c>
      <c r="G70">
        <v>2</v>
      </c>
      <c r="H70" s="5">
        <f>G70/F70</f>
        <v>7.358351729212656E-2</v>
      </c>
      <c r="J70" s="16">
        <f>IF(A70="Male",0, 1)</f>
        <v>1</v>
      </c>
      <c r="K70" s="13">
        <f>IF(B70="No",0, 1)</f>
        <v>1</v>
      </c>
      <c r="L70" s="13">
        <f>IF(C70="Mon",1,IF(C70="Tues",2,IF(C70="Wed",3,IF(C70="Thur",4,IF(C70="Fri",5,IF(C70="Sat",6,7))))))</f>
        <v>6</v>
      </c>
      <c r="M70" s="13">
        <f>IF(D70="Lunch",0,1)</f>
        <v>1</v>
      </c>
      <c r="N70" s="13">
        <v>2</v>
      </c>
      <c r="O70" s="13">
        <v>13.81</v>
      </c>
      <c r="P70" s="13">
        <v>2</v>
      </c>
      <c r="Q70" s="15">
        <f>P70/O70</f>
        <v>0.14482259232440259</v>
      </c>
      <c r="R70" s="15">
        <f>AVERAGE(IF(A70="Female",GETPIVOTDATA("tip %",$W$26,"sex","Female"),GETPIVOTDATA("tip %",$W$26,"sex","Male")),IF(K70=0,GETPIVOTDATA("tip %",$AA$26,"smoker","No"),GETPIVOTDATA("tip %",$AA$26,"smoker","Yes")),IF(C70=$W$33,GETPIVOTDATA("tip %",$W$32,"day","Thur"),IF(C70=$W$34,GETPIVOTDATA("tip %",$W$32,"day","Fri"),IF(C70=$W$35,GETPIVOTDATA("tip %",$W$32,"day","Sat"),IF(C70=$W$36,GETPIVOTDATA("tip %",$W$32,"day","Sun"),GETPIVOTDATA("tip %",$W$32))))),IF(D70=$AE$27,GETPIVOTDATA("tip %",$AE$26,"time","Dinner"),GETPIVOTDATA("tip %",$AE$26,"time","Lunch")),IF(N70=$AA$33,GETPIVOTDATA("Average of tip %",$AA$32,"size",1),IF(N70=$AA$34,GETPIVOTDATA("Average of tip %",$AA$32,"size",2),IF(N70=$AA$35,GETPIVOTDATA("Average of tip %",$AA$32,"size",3),IF(N70=$AA$36,GETPIVOTDATA("Average of tip %",$AA$32,"size",4),IF(N70=$AA$37,GETPIVOTDATA("Average of tip %",$AA$32,"size",5),GETPIVOTDATA("Average of tip %",$AA$32,"size",6)))))))</f>
        <v>0.16161509557363743</v>
      </c>
      <c r="S70" s="14">
        <f t="shared" si="3"/>
        <v>2.9040479096820868</v>
      </c>
      <c r="T70" s="17">
        <f t="shared" si="4"/>
        <v>2.231904469871933</v>
      </c>
      <c r="U70" s="12">
        <f t="shared" si="5"/>
        <v>2.5679761897770099</v>
      </c>
    </row>
    <row r="71" spans="1:21" x14ac:dyDescent="0.2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22.67</v>
      </c>
      <c r="G71">
        <v>2</v>
      </c>
      <c r="H71" s="5">
        <f>G71/F71</f>
        <v>8.8222320247022493E-2</v>
      </c>
      <c r="J71" s="16">
        <f>IF(A71="Male",0, 1)</f>
        <v>0</v>
      </c>
      <c r="K71" s="13">
        <f>IF(B71="No",0, 1)</f>
        <v>1</v>
      </c>
      <c r="L71" s="13">
        <f>IF(C71="Mon",1,IF(C71="Tues",2,IF(C71="Wed",3,IF(C71="Thur",4,IF(C71="Fri",5,IF(C71="Sat",6,7))))))</f>
        <v>6</v>
      </c>
      <c r="M71" s="13">
        <f>IF(D71="Lunch",0,1)</f>
        <v>1</v>
      </c>
      <c r="N71" s="13">
        <v>2</v>
      </c>
      <c r="O71" s="13">
        <v>13.94</v>
      </c>
      <c r="P71" s="13">
        <v>3.06</v>
      </c>
      <c r="Q71" s="15">
        <f>P71/O71</f>
        <v>0.21951219512195122</v>
      </c>
      <c r="R71" s="15">
        <f>AVERAGE(IF(A71="Female",GETPIVOTDATA("tip %",$W$26,"sex","Female"),GETPIVOTDATA("tip %",$W$26,"sex","Male")),IF(K71=0,GETPIVOTDATA("tip %",$AA$26,"smoker","No"),GETPIVOTDATA("tip %",$AA$26,"smoker","Yes")),IF(C71=$W$33,GETPIVOTDATA("tip %",$W$32,"day","Thur"),IF(C71=$W$34,GETPIVOTDATA("tip %",$W$32,"day","Fri"),IF(C71=$W$35,GETPIVOTDATA("tip %",$W$32,"day","Sat"),IF(C71=$W$36,GETPIVOTDATA("tip %",$W$32,"day","Sun"),GETPIVOTDATA("tip %",$W$32))))),IF(D71=$AE$27,GETPIVOTDATA("tip %",$AE$26,"time","Dinner"),GETPIVOTDATA("tip %",$AE$26,"time","Lunch")),IF(N71=$AA$33,GETPIVOTDATA("Average of tip %",$AA$32,"size",1),IF(N71=$AA$34,GETPIVOTDATA("Average of tip %",$AA$32,"size",2),IF(N71=$AA$35,GETPIVOTDATA("Average of tip %",$AA$32,"size",3),IF(N71=$AA$36,GETPIVOTDATA("Average of tip %",$AA$32,"size",4),IF(N71=$AA$37,GETPIVOTDATA("Average of tip %",$AA$32,"size",5),GETPIVOTDATA("Average of tip %",$AA$32,"size",6)))))))</f>
        <v>0.15984705770871196</v>
      </c>
      <c r="S71" s="14">
        <f t="shared" si="3"/>
        <v>2.9552818213886538</v>
      </c>
      <c r="T71" s="17">
        <f t="shared" si="4"/>
        <v>2.2282679844594449</v>
      </c>
      <c r="U71" s="12">
        <f t="shared" si="5"/>
        <v>2.5917749029240493</v>
      </c>
    </row>
    <row r="72" spans="1:21" x14ac:dyDescent="0.2">
      <c r="A72" t="s">
        <v>11</v>
      </c>
      <c r="B72" t="s">
        <v>8</v>
      </c>
      <c r="C72" t="s">
        <v>21</v>
      </c>
      <c r="D72" t="s">
        <v>10</v>
      </c>
      <c r="E72">
        <v>3</v>
      </c>
      <c r="F72">
        <v>16.309999999999999</v>
      </c>
      <c r="G72">
        <v>2</v>
      </c>
      <c r="H72" s="5">
        <f>G72/F72</f>
        <v>0.12262415695892091</v>
      </c>
      <c r="J72" s="16">
        <f>IF(A72="Male",0, 1)</f>
        <v>0</v>
      </c>
      <c r="K72" s="13">
        <f>IF(B72="No",0, 1)</f>
        <v>0</v>
      </c>
      <c r="L72" s="13">
        <f>IF(C72="Mon",1,IF(C72="Tues",2,IF(C72="Wed",3,IF(C72="Thur",4,IF(C72="Fri",5,IF(C72="Sat",6,7))))))</f>
        <v>6</v>
      </c>
      <c r="M72" s="13">
        <f>IF(D72="Lunch",0,1)</f>
        <v>1</v>
      </c>
      <c r="N72" s="13">
        <v>2</v>
      </c>
      <c r="O72" s="13">
        <v>14</v>
      </c>
      <c r="P72" s="13">
        <v>3</v>
      </c>
      <c r="Q72" s="15">
        <f>P72/O72</f>
        <v>0.21428571428571427</v>
      </c>
      <c r="R72" s="15">
        <f>AVERAGE(IF(A72="Female",GETPIVOTDATA("tip %",$W$26,"sex","Female"),GETPIVOTDATA("tip %",$W$26,"sex","Male")),IF(K72=0,GETPIVOTDATA("tip %",$AA$26,"smoker","No"),GETPIVOTDATA("tip %",$AA$26,"smoker","Yes")),IF(C72=$W$33,GETPIVOTDATA("tip %",$W$32,"day","Thur"),IF(C72=$W$34,GETPIVOTDATA("tip %",$W$32,"day","Fri"),IF(C72=$W$35,GETPIVOTDATA("tip %",$W$32,"day","Sat"),IF(C72=$W$36,GETPIVOTDATA("tip %",$W$32,"day","Sun"),GETPIVOTDATA("tip %",$W$32))))),IF(D72=$AE$27,GETPIVOTDATA("tip %",$AE$26,"time","Dinner"),GETPIVOTDATA("tip %",$AE$26,"time","Lunch")),IF(N72=$AA$33,GETPIVOTDATA("Average of tip %",$AA$32,"size",1),IF(N72=$AA$34,GETPIVOTDATA("Average of tip %",$AA$32,"size",2),IF(N72=$AA$35,GETPIVOTDATA("Average of tip %",$AA$32,"size",3),IF(N72=$AA$36,GETPIVOTDATA("Average of tip %",$AA$32,"size",4),IF(N72=$AA$37,GETPIVOTDATA("Average of tip %",$AA$32,"size",5),GETPIVOTDATA("Average of tip %",$AA$32,"size",6)))))))</f>
        <v>0.15907354121717945</v>
      </c>
      <c r="S72" s="14">
        <f t="shared" si="3"/>
        <v>3.1140807873177652</v>
      </c>
      <c r="T72" s="17">
        <f t="shared" si="4"/>
        <v>2.2270295770405122</v>
      </c>
      <c r="U72" s="12">
        <f t="shared" si="5"/>
        <v>2.6705551821791387</v>
      </c>
    </row>
    <row r="73" spans="1:21" x14ac:dyDescent="0.2">
      <c r="A73" t="s">
        <v>7</v>
      </c>
      <c r="B73" t="s">
        <v>8</v>
      </c>
      <c r="C73" t="s">
        <v>9</v>
      </c>
      <c r="D73" t="s">
        <v>10</v>
      </c>
      <c r="E73">
        <v>3</v>
      </c>
      <c r="F73">
        <v>16.21</v>
      </c>
      <c r="G73">
        <v>2</v>
      </c>
      <c r="H73" s="5">
        <f>G73/F73</f>
        <v>0.12338062924120913</v>
      </c>
      <c r="J73" s="16">
        <f>IF(A73="Male",0, 1)</f>
        <v>1</v>
      </c>
      <c r="K73" s="13">
        <f>IF(B73="No",0, 1)</f>
        <v>0</v>
      </c>
      <c r="L73" s="13">
        <f>IF(C73="Mon",1,IF(C73="Tues",2,IF(C73="Wed",3,IF(C73="Thur",4,IF(C73="Fri",5,IF(C73="Sat",6,7))))))</f>
        <v>7</v>
      </c>
      <c r="M73" s="13">
        <f>IF(D73="Lunch",0,1)</f>
        <v>1</v>
      </c>
      <c r="N73" s="13">
        <v>2</v>
      </c>
      <c r="O73" s="13">
        <v>14.07</v>
      </c>
      <c r="P73" s="13">
        <v>2.5</v>
      </c>
      <c r="Q73" s="15">
        <f>P73/O73</f>
        <v>0.17768301350390903</v>
      </c>
      <c r="R73" s="15">
        <f>AVERAGE(IF(A73="Female",GETPIVOTDATA("tip %",$W$26,"sex","Female"),GETPIVOTDATA("tip %",$W$26,"sex","Male")),IF(K73=0,GETPIVOTDATA("tip %",$AA$26,"smoker","No"),GETPIVOTDATA("tip %",$AA$26,"smoker","Yes")),IF(C73=$W$33,GETPIVOTDATA("tip %",$W$32,"day","Thur"),IF(C73=$W$34,GETPIVOTDATA("tip %",$W$32,"day","Fri"),IF(C73=$W$35,GETPIVOTDATA("tip %",$W$32,"day","Sat"),IF(C73=$W$36,GETPIVOTDATA("tip %",$W$32,"day","Sun"),GETPIVOTDATA("tip %",$W$32))))),IF(D73=$AE$27,GETPIVOTDATA("tip %",$AE$26,"time","Dinner"),GETPIVOTDATA("tip %",$AE$26,"time","Lunch")),IF(N73=$AA$33,GETPIVOTDATA("Average of tip %",$AA$32,"size",1),IF(N73=$AA$34,GETPIVOTDATA("Average of tip %",$AA$32,"size",2),IF(N73=$AA$35,GETPIVOTDATA("Average of tip %",$AA$32,"size",3),IF(N73=$AA$36,GETPIVOTDATA("Average of tip %",$AA$32,"size",4),IF(N73=$AA$37,GETPIVOTDATA("Average of tip %",$AA$32,"size",5),GETPIVOTDATA("Average of tip %",$AA$32,"size",6)))))))</f>
        <v>0.16359069307477619</v>
      </c>
      <c r="S73" s="14">
        <f t="shared" si="3"/>
        <v>3.1152525017454993</v>
      </c>
      <c r="T73" s="17">
        <f t="shared" si="4"/>
        <v>2.3017210515621009</v>
      </c>
      <c r="U73" s="12">
        <f t="shared" si="5"/>
        <v>2.7084867766538001</v>
      </c>
    </row>
    <row r="74" spans="1:21" x14ac:dyDescent="0.2">
      <c r="A74" t="s">
        <v>11</v>
      </c>
      <c r="B74" t="s">
        <v>22</v>
      </c>
      <c r="C74" t="s">
        <v>21</v>
      </c>
      <c r="D74" t="s">
        <v>10</v>
      </c>
      <c r="E74">
        <v>3</v>
      </c>
      <c r="F74">
        <v>30.06</v>
      </c>
      <c r="G74">
        <v>2</v>
      </c>
      <c r="H74" s="5">
        <f>G74/F74</f>
        <v>6.6533599467731214E-2</v>
      </c>
      <c r="J74" s="16">
        <f>IF(A74="Male",0, 1)</f>
        <v>0</v>
      </c>
      <c r="K74" s="13">
        <f>IF(B74="No",0, 1)</f>
        <v>1</v>
      </c>
      <c r="L74" s="13">
        <f>IF(C74="Mon",1,IF(C74="Tues",2,IF(C74="Wed",3,IF(C74="Thur",4,IF(C74="Fri",5,IF(C74="Sat",6,7))))))</f>
        <v>6</v>
      </c>
      <c r="M74" s="13">
        <f>IF(D74="Lunch",0,1)</f>
        <v>1</v>
      </c>
      <c r="N74" s="13">
        <v>2</v>
      </c>
      <c r="O74" s="13">
        <v>14.15</v>
      </c>
      <c r="P74" s="13">
        <v>2</v>
      </c>
      <c r="Q74" s="15">
        <f>P74/O74</f>
        <v>0.14134275618374559</v>
      </c>
      <c r="R74" s="15">
        <f>AVERAGE(IF(A74="Female",GETPIVOTDATA("tip %",$W$26,"sex","Female"),GETPIVOTDATA("tip %",$W$26,"sex","Male")),IF(K74=0,GETPIVOTDATA("tip %",$AA$26,"smoker","No"),GETPIVOTDATA("tip %",$AA$26,"smoker","Yes")),IF(C74=$W$33,GETPIVOTDATA("tip %",$W$32,"day","Thur"),IF(C74=$W$34,GETPIVOTDATA("tip %",$W$32,"day","Fri"),IF(C74=$W$35,GETPIVOTDATA("tip %",$W$32,"day","Sat"),IF(C74=$W$36,GETPIVOTDATA("tip %",$W$32,"day","Sun"),GETPIVOTDATA("tip %",$W$32))))),IF(D74=$AE$27,GETPIVOTDATA("tip %",$AE$26,"time","Dinner"),GETPIVOTDATA("tip %",$AE$26,"time","Lunch")),IF(N74=$AA$33,GETPIVOTDATA("Average of tip %",$AA$32,"size",1),IF(N74=$AA$34,GETPIVOTDATA("Average of tip %",$AA$32,"size",2),IF(N74=$AA$35,GETPIVOTDATA("Average of tip %",$AA$32,"size",3),IF(N74=$AA$36,GETPIVOTDATA("Average of tip %",$AA$32,"size",4),IF(N74=$AA$37,GETPIVOTDATA("Average of tip %",$AA$32,"size",5),GETPIVOTDATA("Average of tip %",$AA$32,"size",6)))))))</f>
        <v>0.15984705770871196</v>
      </c>
      <c r="S74" s="14">
        <f t="shared" si="3"/>
        <v>3.1174518618744838</v>
      </c>
      <c r="T74" s="17">
        <f t="shared" si="4"/>
        <v>2.2618358665782745</v>
      </c>
      <c r="U74" s="12">
        <f t="shared" si="5"/>
        <v>2.6896438642263791</v>
      </c>
    </row>
    <row r="75" spans="1:21" x14ac:dyDescent="0.2">
      <c r="A75" t="s">
        <v>11</v>
      </c>
      <c r="B75" t="s">
        <v>8</v>
      </c>
      <c r="C75" t="s">
        <v>9</v>
      </c>
      <c r="D75" t="s">
        <v>10</v>
      </c>
      <c r="E75">
        <v>4</v>
      </c>
      <c r="F75">
        <v>24.55</v>
      </c>
      <c r="G75">
        <v>2</v>
      </c>
      <c r="H75" s="5">
        <f>G75/F75</f>
        <v>8.1466395112016296E-2</v>
      </c>
      <c r="J75" s="16">
        <f>IF(A75="Male",0, 1)</f>
        <v>0</v>
      </c>
      <c r="K75" s="13">
        <f>IF(B75="No",0, 1)</f>
        <v>0</v>
      </c>
      <c r="L75" s="13">
        <f>IF(C75="Mon",1,IF(C75="Tues",2,IF(C75="Wed",3,IF(C75="Thur",4,IF(C75="Fri",5,IF(C75="Sat",6,7))))))</f>
        <v>7</v>
      </c>
      <c r="M75" s="13">
        <f>IF(D75="Lunch",0,1)</f>
        <v>1</v>
      </c>
      <c r="N75" s="13">
        <v>2</v>
      </c>
      <c r="O75" s="13">
        <v>14.26</v>
      </c>
      <c r="P75" s="13">
        <v>2.5</v>
      </c>
      <c r="Q75" s="15">
        <f>P75/O75</f>
        <v>0.17531556802244039</v>
      </c>
      <c r="R75" s="15">
        <f>AVERAGE(IF(A75="Female",GETPIVOTDATA("tip %",$W$26,"sex","Female"),GETPIVOTDATA("tip %",$W$26,"sex","Male")),IF(K75=0,GETPIVOTDATA("tip %",$AA$26,"smoker","No"),GETPIVOTDATA("tip %",$AA$26,"smoker","Yes")),IF(C75=$W$33,GETPIVOTDATA("tip %",$W$32,"day","Thur"),IF(C75=$W$34,GETPIVOTDATA("tip %",$W$32,"day","Fri"),IF(C75=$W$35,GETPIVOTDATA("tip %",$W$32,"day","Sat"),IF(C75=$W$36,GETPIVOTDATA("tip %",$W$32,"day","Sun"),GETPIVOTDATA("tip %",$W$32))))),IF(D75=$AE$27,GETPIVOTDATA("tip %",$AE$26,"time","Dinner"),GETPIVOTDATA("tip %",$AE$26,"time","Lunch")),IF(N75=$AA$33,GETPIVOTDATA("Average of tip %",$AA$32,"size",1),IF(N75=$AA$34,GETPIVOTDATA("Average of tip %",$AA$32,"size",2),IF(N75=$AA$35,GETPIVOTDATA("Average of tip %",$AA$32,"size",3),IF(N75=$AA$36,GETPIVOTDATA("Average of tip %",$AA$32,"size",4),IF(N75=$AA$37,GETPIVOTDATA("Average of tip %",$AA$32,"size",5),GETPIVOTDATA("Average of tip %",$AA$32,"size",6)))))))</f>
        <v>0.16182265520985073</v>
      </c>
      <c r="S75" s="14">
        <f t="shared" si="3"/>
        <v>3.3149359155857794</v>
      </c>
      <c r="T75" s="17">
        <f t="shared" si="4"/>
        <v>2.3075910632924712</v>
      </c>
      <c r="U75" s="12">
        <f t="shared" si="5"/>
        <v>2.8112634894391251</v>
      </c>
    </row>
    <row r="76" spans="1:21" x14ac:dyDescent="0.2">
      <c r="A76" t="s">
        <v>11</v>
      </c>
      <c r="B76" t="s">
        <v>8</v>
      </c>
      <c r="C76" t="s">
        <v>9</v>
      </c>
      <c r="D76" t="s">
        <v>10</v>
      </c>
      <c r="E76">
        <v>4</v>
      </c>
      <c r="F76">
        <v>19.77</v>
      </c>
      <c r="G76">
        <v>2</v>
      </c>
      <c r="H76" s="5">
        <f>G76/F76</f>
        <v>0.10116337885685382</v>
      </c>
      <c r="J76" s="16">
        <f>IF(A76="Male",0, 1)</f>
        <v>0</v>
      </c>
      <c r="K76" s="13">
        <f>IF(B76="No",0, 1)</f>
        <v>0</v>
      </c>
      <c r="L76" s="13">
        <f>IF(C76="Mon",1,IF(C76="Tues",2,IF(C76="Wed",3,IF(C76="Thur",4,IF(C76="Fri",5,IF(C76="Sat",6,7))))))</f>
        <v>7</v>
      </c>
      <c r="M76" s="13">
        <f>IF(D76="Lunch",0,1)</f>
        <v>1</v>
      </c>
      <c r="N76" s="13">
        <v>2</v>
      </c>
      <c r="O76" s="13">
        <v>14.31</v>
      </c>
      <c r="P76" s="13">
        <v>4</v>
      </c>
      <c r="Q76" s="15">
        <f>P76/O76</f>
        <v>0.27952480782669459</v>
      </c>
      <c r="R76" s="15">
        <f>AVERAGE(IF(A76="Female",GETPIVOTDATA("tip %",$W$26,"sex","Female"),GETPIVOTDATA("tip %",$W$26,"sex","Male")),IF(K76=0,GETPIVOTDATA("tip %",$AA$26,"smoker","No"),GETPIVOTDATA("tip %",$AA$26,"smoker","Yes")),IF(C76=$W$33,GETPIVOTDATA("tip %",$W$32,"day","Thur"),IF(C76=$W$34,GETPIVOTDATA("tip %",$W$32,"day","Fri"),IF(C76=$W$35,GETPIVOTDATA("tip %",$W$32,"day","Sat"),IF(C76=$W$36,GETPIVOTDATA("tip %",$W$32,"day","Sun"),GETPIVOTDATA("tip %",$W$32))))),IF(D76=$AE$27,GETPIVOTDATA("tip %",$AE$26,"time","Dinner"),GETPIVOTDATA("tip %",$AE$26,"time","Lunch")),IF(N76=$AA$33,GETPIVOTDATA("Average of tip %",$AA$32,"size",1),IF(N76=$AA$34,GETPIVOTDATA("Average of tip %",$AA$32,"size",2),IF(N76=$AA$35,GETPIVOTDATA("Average of tip %",$AA$32,"size",3),IF(N76=$AA$36,GETPIVOTDATA("Average of tip %",$AA$32,"size",4),IF(N76=$AA$37,GETPIVOTDATA("Average of tip %",$AA$32,"size",5),GETPIVOTDATA("Average of tip %",$AA$32,"size",6)))))))</f>
        <v>0.16182265520985073</v>
      </c>
      <c r="S76" s="14">
        <f t="shared" si="3"/>
        <v>3.3149359155857794</v>
      </c>
      <c r="T76" s="17">
        <f t="shared" si="4"/>
        <v>2.3156821960529639</v>
      </c>
      <c r="U76" s="12">
        <f t="shared" si="5"/>
        <v>2.8153090558193714</v>
      </c>
    </row>
    <row r="77" spans="1:21" x14ac:dyDescent="0.2">
      <c r="A77" t="s">
        <v>11</v>
      </c>
      <c r="B77" t="s">
        <v>8</v>
      </c>
      <c r="C77" t="s">
        <v>9</v>
      </c>
      <c r="D77" t="s">
        <v>10</v>
      </c>
      <c r="E77">
        <v>4</v>
      </c>
      <c r="F77">
        <v>16.489999999999998</v>
      </c>
      <c r="G77">
        <v>2</v>
      </c>
      <c r="H77" s="5">
        <f>G77/F77</f>
        <v>0.12128562765312312</v>
      </c>
      <c r="J77" s="16">
        <f>IF(A77="Male",0, 1)</f>
        <v>0</v>
      </c>
      <c r="K77" s="13">
        <f>IF(B77="No",0, 1)</f>
        <v>0</v>
      </c>
      <c r="L77" s="13">
        <f>IF(C77="Mon",1,IF(C77="Tues",2,IF(C77="Wed",3,IF(C77="Thur",4,IF(C77="Fri",5,IF(C77="Sat",6,7))))))</f>
        <v>7</v>
      </c>
      <c r="M77" s="13">
        <f>IF(D77="Lunch",0,1)</f>
        <v>1</v>
      </c>
      <c r="N77" s="13">
        <v>2</v>
      </c>
      <c r="O77" s="13">
        <v>14.48</v>
      </c>
      <c r="P77" s="13">
        <v>2</v>
      </c>
      <c r="Q77" s="15">
        <f>P77/O77</f>
        <v>0.13812154696132597</v>
      </c>
      <c r="R77" s="15">
        <f>AVERAGE(IF(A77="Female",GETPIVOTDATA("tip %",$W$26,"sex","Female"),GETPIVOTDATA("tip %",$W$26,"sex","Male")),IF(K77=0,GETPIVOTDATA("tip %",$AA$26,"smoker","No"),GETPIVOTDATA("tip %",$AA$26,"smoker","Yes")),IF(C77=$W$33,GETPIVOTDATA("tip %",$W$32,"day","Thur"),IF(C77=$W$34,GETPIVOTDATA("tip %",$W$32,"day","Fri"),IF(C77=$W$35,GETPIVOTDATA("tip %",$W$32,"day","Sat"),IF(C77=$W$36,GETPIVOTDATA("tip %",$W$32,"day","Sun"),GETPIVOTDATA("tip %",$W$32))))),IF(D77=$AE$27,GETPIVOTDATA("tip %",$AE$26,"time","Dinner"),GETPIVOTDATA("tip %",$AE$26,"time","Lunch")),IF(N77=$AA$33,GETPIVOTDATA("Average of tip %",$AA$32,"size",1),IF(N77=$AA$34,GETPIVOTDATA("Average of tip %",$AA$32,"size",2),IF(N77=$AA$35,GETPIVOTDATA("Average of tip %",$AA$32,"size",3),IF(N77=$AA$36,GETPIVOTDATA("Average of tip %",$AA$32,"size",4),IF(N77=$AA$37,GETPIVOTDATA("Average of tip %",$AA$32,"size",5),GETPIVOTDATA("Average of tip %",$AA$32,"size",6)))))))</f>
        <v>0.16182265520985073</v>
      </c>
      <c r="S77" s="14">
        <f t="shared" si="3"/>
        <v>3.3149359155857794</v>
      </c>
      <c r="T77" s="17">
        <f t="shared" si="4"/>
        <v>2.3431920474386385</v>
      </c>
      <c r="U77" s="12">
        <f t="shared" si="5"/>
        <v>2.8290639815122089</v>
      </c>
    </row>
    <row r="78" spans="1:21" x14ac:dyDescent="0.2">
      <c r="A78" t="s">
        <v>11</v>
      </c>
      <c r="B78" t="s">
        <v>22</v>
      </c>
      <c r="C78" t="s">
        <v>21</v>
      </c>
      <c r="D78" t="s">
        <v>10</v>
      </c>
      <c r="E78">
        <v>4</v>
      </c>
      <c r="F78">
        <v>24.01</v>
      </c>
      <c r="G78">
        <v>2</v>
      </c>
      <c r="H78" s="5">
        <f>G78/F78</f>
        <v>8.3298625572678045E-2</v>
      </c>
      <c r="J78" s="16">
        <f>IF(A78="Male",0, 1)</f>
        <v>0</v>
      </c>
      <c r="K78" s="13">
        <f>IF(B78="No",0, 1)</f>
        <v>1</v>
      </c>
      <c r="L78" s="13">
        <f>IF(C78="Mon",1,IF(C78="Tues",2,IF(C78="Wed",3,IF(C78="Thur",4,IF(C78="Fri",5,IF(C78="Sat",6,7))))))</f>
        <v>6</v>
      </c>
      <c r="M78" s="13">
        <f>IF(D78="Lunch",0,1)</f>
        <v>1</v>
      </c>
      <c r="N78" s="13">
        <v>2</v>
      </c>
      <c r="O78" s="13">
        <v>14.52</v>
      </c>
      <c r="P78" s="13">
        <v>2</v>
      </c>
      <c r="Q78" s="15">
        <f>P78/O78</f>
        <v>0.13774104683195593</v>
      </c>
      <c r="R78" s="15">
        <f>AVERAGE(IF(A78="Female",GETPIVOTDATA("tip %",$W$26,"sex","Female"),GETPIVOTDATA("tip %",$W$26,"sex","Male")),IF(K78=0,GETPIVOTDATA("tip %",$AA$26,"smoker","No"),GETPIVOTDATA("tip %",$AA$26,"smoker","Yes")),IF(C78=$W$33,GETPIVOTDATA("tip %",$W$32,"day","Thur"),IF(C78=$W$34,GETPIVOTDATA("tip %",$W$32,"day","Fri"),IF(C78=$W$35,GETPIVOTDATA("tip %",$W$32,"day","Sat"),IF(C78=$W$36,GETPIVOTDATA("tip %",$W$32,"day","Sun"),GETPIVOTDATA("tip %",$W$32))))),IF(D78=$AE$27,GETPIVOTDATA("tip %",$AE$26,"time","Dinner"),GETPIVOTDATA("tip %",$AE$26,"time","Lunch")),IF(N78=$AA$33,GETPIVOTDATA("Average of tip %",$AA$32,"size",1),IF(N78=$AA$34,GETPIVOTDATA("Average of tip %",$AA$32,"size",2),IF(N78=$AA$35,GETPIVOTDATA("Average of tip %",$AA$32,"size",3),IF(N78=$AA$36,GETPIVOTDATA("Average of tip %",$AA$32,"size",4),IF(N78=$AA$37,GETPIVOTDATA("Average of tip %",$AA$32,"size",5),GETPIVOTDATA("Average of tip %",$AA$32,"size",6)))))))</f>
        <v>0.15984705770871196</v>
      </c>
      <c r="S78" s="14">
        <f t="shared" si="3"/>
        <v>3.2659013640081964</v>
      </c>
      <c r="T78" s="17">
        <f t="shared" si="4"/>
        <v>2.3209792779304976</v>
      </c>
      <c r="U78" s="12">
        <f t="shared" si="5"/>
        <v>2.793440320969347</v>
      </c>
    </row>
    <row r="79" spans="1:21" x14ac:dyDescent="0.2">
      <c r="A79" t="s">
        <v>11</v>
      </c>
      <c r="B79" t="s">
        <v>22</v>
      </c>
      <c r="C79" t="s">
        <v>9</v>
      </c>
      <c r="D79" t="s">
        <v>10</v>
      </c>
      <c r="E79">
        <v>5</v>
      </c>
      <c r="F79">
        <v>30.46</v>
      </c>
      <c r="G79">
        <v>2</v>
      </c>
      <c r="H79" s="5">
        <f>G79/F79</f>
        <v>6.5659881812212731E-2</v>
      </c>
      <c r="J79" s="16">
        <f>IF(A79="Male",0, 1)</f>
        <v>0</v>
      </c>
      <c r="K79" s="13">
        <f>IF(B79="No",0, 1)</f>
        <v>1</v>
      </c>
      <c r="L79" s="13">
        <f>IF(C79="Mon",1,IF(C79="Tues",2,IF(C79="Wed",3,IF(C79="Thur",4,IF(C79="Fri",5,IF(C79="Sat",6,7))))))</f>
        <v>7</v>
      </c>
      <c r="M79" s="13">
        <f>IF(D79="Lunch",0,1)</f>
        <v>1</v>
      </c>
      <c r="N79" s="13">
        <v>2</v>
      </c>
      <c r="O79" s="13">
        <v>14.73</v>
      </c>
      <c r="P79" s="13">
        <v>2.2000000000000002</v>
      </c>
      <c r="Q79" s="15">
        <f>P79/O79</f>
        <v>0.14935505770536323</v>
      </c>
      <c r="R79" s="15">
        <f>AVERAGE(IF(A79="Female",GETPIVOTDATA("tip %",$W$26,"sex","Female"),GETPIVOTDATA("tip %",$W$26,"sex","Male")),IF(K79=0,GETPIVOTDATA("tip %",$AA$26,"smoker","No"),GETPIVOTDATA("tip %",$AA$26,"smoker","Yes")),IF(C79=$W$33,GETPIVOTDATA("tip %",$W$32,"day","Thur"),IF(C79=$W$34,GETPIVOTDATA("tip %",$W$32,"day","Fri"),IF(C79=$W$35,GETPIVOTDATA("tip %",$W$32,"day","Sat"),IF(C79=$W$36,GETPIVOTDATA("tip %",$W$32,"day","Sun"),GETPIVOTDATA("tip %",$W$32))))),IF(D79=$AE$27,GETPIVOTDATA("tip %",$AE$26,"time","Dinner"),GETPIVOTDATA("tip %",$AE$26,"time","Lunch")),IF(N79=$AA$33,GETPIVOTDATA("Average of tip %",$AA$32,"size",1),IF(N79=$AA$34,GETPIVOTDATA("Average of tip %",$AA$32,"size",2),IF(N79=$AA$35,GETPIVOTDATA("Average of tip %",$AA$32,"size",3),IF(N79=$AA$36,GETPIVOTDATA("Average of tip %",$AA$32,"size",4),IF(N79=$AA$37,GETPIVOTDATA("Average of tip %",$AA$32,"size",5),GETPIVOTDATA("Average of tip %",$AA$32,"size",6)))))))</f>
        <v>0.16259617170138324</v>
      </c>
      <c r="S79" s="14">
        <f t="shared" si="3"/>
        <v>3.2968259090614169</v>
      </c>
      <c r="T79" s="17">
        <f t="shared" si="4"/>
        <v>2.3950416091613751</v>
      </c>
      <c r="U79" s="12">
        <f t="shared" si="5"/>
        <v>2.845933759111396</v>
      </c>
    </row>
    <row r="80" spans="1:21" x14ac:dyDescent="0.2">
      <c r="A80" t="s">
        <v>11</v>
      </c>
      <c r="B80" t="s">
        <v>8</v>
      </c>
      <c r="C80" t="s">
        <v>21</v>
      </c>
      <c r="D80" t="s">
        <v>10</v>
      </c>
      <c r="E80">
        <v>2</v>
      </c>
      <c r="F80">
        <v>20.23</v>
      </c>
      <c r="G80">
        <v>2.0099999999999998</v>
      </c>
      <c r="H80" s="5">
        <f>G80/F80</f>
        <v>9.9357390014829447E-2</v>
      </c>
      <c r="J80" s="16">
        <f>IF(A80="Male",0, 1)</f>
        <v>0</v>
      </c>
      <c r="K80" s="13">
        <f>IF(B80="No",0, 1)</f>
        <v>0</v>
      </c>
      <c r="L80" s="13">
        <f>IF(C80="Mon",1,IF(C80="Tues",2,IF(C80="Wed",3,IF(C80="Thur",4,IF(C80="Fri",5,IF(C80="Sat",6,7))))))</f>
        <v>6</v>
      </c>
      <c r="M80" s="13">
        <f>IF(D80="Lunch",0,1)</f>
        <v>1</v>
      </c>
      <c r="N80" s="13">
        <v>2</v>
      </c>
      <c r="O80" s="13">
        <v>14.78</v>
      </c>
      <c r="P80" s="13">
        <v>3.23</v>
      </c>
      <c r="Q80" s="15">
        <f>P80/O80</f>
        <v>0.21853856562922869</v>
      </c>
      <c r="R80" s="15">
        <f>AVERAGE(IF(A80="Female",GETPIVOTDATA("tip %",$W$26,"sex","Female"),GETPIVOTDATA("tip %",$W$26,"sex","Male")),IF(K80=0,GETPIVOTDATA("tip %",$AA$26,"smoker","No"),GETPIVOTDATA("tip %",$AA$26,"smoker","Yes")),IF(C80=$W$33,GETPIVOTDATA("tip %",$W$32,"day","Thur"),IF(C80=$W$34,GETPIVOTDATA("tip %",$W$32,"day","Fri"),IF(C80=$W$35,GETPIVOTDATA("tip %",$W$32,"day","Sat"),IF(C80=$W$36,GETPIVOTDATA("tip %",$W$32,"day","Sun"),GETPIVOTDATA("tip %",$W$32))))),IF(D80=$AE$27,GETPIVOTDATA("tip %",$AE$26,"time","Dinner"),GETPIVOTDATA("tip %",$AE$26,"time","Lunch")),IF(N80=$AA$33,GETPIVOTDATA("Average of tip %",$AA$32,"size",1),IF(N80=$AA$34,GETPIVOTDATA("Average of tip %",$AA$32,"size",2),IF(N80=$AA$35,GETPIVOTDATA("Average of tip %",$AA$32,"size",3),IF(N80=$AA$36,GETPIVOTDATA("Average of tip %",$AA$32,"size",4),IF(N80=$AA$37,GETPIVOTDATA("Average of tip %",$AA$32,"size",5),GETPIVOTDATA("Average of tip %",$AA$32,"size",6)))))))</f>
        <v>0.15907354121717945</v>
      </c>
      <c r="S80" s="14">
        <f t="shared" si="3"/>
        <v>2.9519107468319357</v>
      </c>
      <c r="T80" s="17">
        <f t="shared" si="4"/>
        <v>2.3511069391899122</v>
      </c>
      <c r="U80" s="12">
        <f t="shared" si="5"/>
        <v>2.6515088430109239</v>
      </c>
    </row>
    <row r="81" spans="1:21" x14ac:dyDescent="0.2">
      <c r="A81" t="s">
        <v>7</v>
      </c>
      <c r="B81" t="s">
        <v>22</v>
      </c>
      <c r="C81" t="s">
        <v>23</v>
      </c>
      <c r="D81" t="s">
        <v>24</v>
      </c>
      <c r="E81">
        <v>2</v>
      </c>
      <c r="F81">
        <v>12.74</v>
      </c>
      <c r="G81">
        <v>2.0099999999999998</v>
      </c>
      <c r="H81" s="5">
        <f>G81/F81</f>
        <v>0.15777080062794346</v>
      </c>
      <c r="J81" s="16">
        <f>IF(A81="Male",0, 1)</f>
        <v>1</v>
      </c>
      <c r="K81" s="13">
        <f>IF(B81="No",0, 1)</f>
        <v>1</v>
      </c>
      <c r="L81" s="13">
        <f>IF(C81="Mon",1,IF(C81="Tues",2,IF(C81="Wed",3,IF(C81="Thur",4,IF(C81="Fri",5,IF(C81="Sat",6,7))))))</f>
        <v>4</v>
      </c>
      <c r="M81" s="13">
        <f>IF(D81="Lunch",0,1)</f>
        <v>0</v>
      </c>
      <c r="N81" s="13">
        <v>2</v>
      </c>
      <c r="O81" s="13">
        <v>14.83</v>
      </c>
      <c r="P81" s="13">
        <v>3.02</v>
      </c>
      <c r="Q81" s="15">
        <f>P81/O81</f>
        <v>0.20364126770060686</v>
      </c>
      <c r="R81" s="15">
        <f>AVERAGE(IF(A81="Female",GETPIVOTDATA("tip %",$W$26,"sex","Female"),GETPIVOTDATA("tip %",$W$26,"sex","Male")),IF(K81=0,GETPIVOTDATA("tip %",$AA$26,"smoker","No"),GETPIVOTDATA("tip %",$AA$26,"smoker","Yes")),IF(C81=$W$33,GETPIVOTDATA("tip %",$W$32,"day","Thur"),IF(C81=$W$34,GETPIVOTDATA("tip %",$W$32,"day","Fri"),IF(C81=$W$35,GETPIVOTDATA("tip %",$W$32,"day","Sat"),IF(C81=$W$36,GETPIVOTDATA("tip %",$W$32,"day","Sun"),GETPIVOTDATA("tip %",$W$32))))),IF(D81=$AE$27,GETPIVOTDATA("tip %",$AE$26,"time","Dinner"),GETPIVOTDATA("tip %",$AE$26,"time","Lunch")),IF(N81=$AA$33,GETPIVOTDATA("Average of tip %",$AA$32,"size",1),IF(N81=$AA$34,GETPIVOTDATA("Average of tip %",$AA$32,"size",2),IF(N81=$AA$35,GETPIVOTDATA("Average of tip %",$AA$32,"size",3),IF(N81=$AA$36,GETPIVOTDATA("Average of tip %",$AA$32,"size",4),IF(N81=$AA$37,GETPIVOTDATA("Average of tip %",$AA$32,"size",5),GETPIVOTDATA("Average of tip %",$AA$32,"size",6)))))))</f>
        <v>0.16416190696595673</v>
      </c>
      <c r="S81" s="14">
        <f t="shared" si="3"/>
        <v>2.784801098757292</v>
      </c>
      <c r="T81" s="17">
        <f t="shared" si="4"/>
        <v>2.4345210803051383</v>
      </c>
      <c r="U81" s="12">
        <f t="shared" si="5"/>
        <v>2.6096610895312153</v>
      </c>
    </row>
    <row r="82" spans="1:21" x14ac:dyDescent="0.2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15.48</v>
      </c>
      <c r="G82">
        <v>2.02</v>
      </c>
      <c r="H82" s="5">
        <f>G82/F82</f>
        <v>0.13049095607235142</v>
      </c>
      <c r="J82" s="16">
        <f>IF(A82="Male",0, 1)</f>
        <v>0</v>
      </c>
      <c r="K82" s="13">
        <f>IF(B82="No",0, 1)</f>
        <v>1</v>
      </c>
      <c r="L82" s="13">
        <f>IF(C82="Mon",1,IF(C82="Tues",2,IF(C82="Wed",3,IF(C82="Thur",4,IF(C82="Fri",5,IF(C82="Sat",6,7))))))</f>
        <v>4</v>
      </c>
      <c r="M82" s="13">
        <f>IF(D82="Lunch",0,1)</f>
        <v>0</v>
      </c>
      <c r="N82" s="13">
        <v>2</v>
      </c>
      <c r="O82" s="13">
        <v>15.01</v>
      </c>
      <c r="P82" s="13">
        <v>2.09</v>
      </c>
      <c r="Q82" s="15">
        <f>P82/O82</f>
        <v>0.13924050632911392</v>
      </c>
      <c r="R82" s="15">
        <f>AVERAGE(IF(A82="Female",GETPIVOTDATA("tip %",$W$26,"sex","Female"),GETPIVOTDATA("tip %",$W$26,"sex","Male")),IF(K82=0,GETPIVOTDATA("tip %",$AA$26,"smoker","No"),GETPIVOTDATA("tip %",$AA$26,"smoker","Yes")),IF(C82=$W$33,GETPIVOTDATA("tip %",$W$32,"day","Thur"),IF(C82=$W$34,GETPIVOTDATA("tip %",$W$32,"day","Fri"),IF(C82=$W$35,GETPIVOTDATA("tip %",$W$32,"day","Sat"),IF(C82=$W$36,GETPIVOTDATA("tip %",$W$32,"day","Sun"),GETPIVOTDATA("tip %",$W$32))))),IF(D82=$AE$27,GETPIVOTDATA("tip %",$AE$26,"time","Dinner"),GETPIVOTDATA("tip %",$AE$26,"time","Lunch")),IF(N82=$AA$33,GETPIVOTDATA("Average of tip %",$AA$32,"size",1),IF(N82=$AA$34,GETPIVOTDATA("Average of tip %",$AA$32,"size",2),IF(N82=$AA$35,GETPIVOTDATA("Average of tip %",$AA$32,"size",3),IF(N82=$AA$36,GETPIVOTDATA("Average of tip %",$AA$32,"size",4),IF(N82=$AA$37,GETPIVOTDATA("Average of tip %",$AA$32,"size",5),GETPIVOTDATA("Average of tip %",$AA$32,"size",6)))))))</f>
        <v>0.16239386910103129</v>
      </c>
      <c r="S82" s="14">
        <f t="shared" si="3"/>
        <v>2.836035010463859</v>
      </c>
      <c r="T82" s="17">
        <f t="shared" si="4"/>
        <v>2.4375319752064795</v>
      </c>
      <c r="U82" s="12">
        <f t="shared" si="5"/>
        <v>2.6367834928351694</v>
      </c>
    </row>
    <row r="83" spans="1:21" x14ac:dyDescent="0.2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15.98</v>
      </c>
      <c r="G83">
        <v>2.0299999999999998</v>
      </c>
      <c r="H83" s="5">
        <f>G83/F83</f>
        <v>0.12703379224030037</v>
      </c>
      <c r="J83" s="16">
        <f>IF(A83="Male",0, 1)</f>
        <v>0</v>
      </c>
      <c r="K83" s="13">
        <f>IF(B83="No",0, 1)</f>
        <v>0</v>
      </c>
      <c r="L83" s="13">
        <f>IF(C83="Mon",1,IF(C83="Tues",2,IF(C83="Wed",3,IF(C83="Thur",4,IF(C83="Fri",5,IF(C83="Sat",6,7))))))</f>
        <v>4</v>
      </c>
      <c r="M83" s="13">
        <f>IF(D83="Lunch",0,1)</f>
        <v>0</v>
      </c>
      <c r="N83" s="13">
        <v>2</v>
      </c>
      <c r="O83" s="13">
        <v>15.04</v>
      </c>
      <c r="P83" s="13">
        <v>1.96</v>
      </c>
      <c r="Q83" s="15">
        <f>P83/O83</f>
        <v>0.13031914893617022</v>
      </c>
      <c r="R83" s="15">
        <f>AVERAGE(IF(A83="Female",GETPIVOTDATA("tip %",$W$26,"sex","Female"),GETPIVOTDATA("tip %",$W$26,"sex","Male")),IF(K83=0,GETPIVOTDATA("tip %",$AA$26,"smoker","No"),GETPIVOTDATA("tip %",$AA$26,"smoker","Yes")),IF(C83=$W$33,GETPIVOTDATA("tip %",$W$32,"day","Thur"),IF(C83=$W$34,GETPIVOTDATA("tip %",$W$32,"day","Fri"),IF(C83=$W$35,GETPIVOTDATA("tip %",$W$32,"day","Sat"),IF(C83=$W$36,GETPIVOTDATA("tip %",$W$32,"day","Sun"),GETPIVOTDATA("tip %",$W$32))))),IF(D83=$AE$27,GETPIVOTDATA("tip %",$AE$26,"time","Dinner"),GETPIVOTDATA("tip %",$AE$26,"time","Lunch")),IF(N83=$AA$33,GETPIVOTDATA("Average of tip %",$AA$32,"size",1),IF(N83=$AA$34,GETPIVOTDATA("Average of tip %",$AA$32,"size",2),IF(N83=$AA$35,GETPIVOTDATA("Average of tip %",$AA$32,"size",3),IF(N83=$AA$36,GETPIVOTDATA("Average of tip %",$AA$32,"size",4),IF(N83=$AA$37,GETPIVOTDATA("Average of tip %",$AA$32,"size",5),GETPIVOTDATA("Average of tip %",$AA$32,"size",6)))))))</f>
        <v>0.16162035260949875</v>
      </c>
      <c r="S83" s="14">
        <f t="shared" si="3"/>
        <v>2.8326639359071408</v>
      </c>
      <c r="T83" s="17">
        <f t="shared" si="4"/>
        <v>2.4307701032468612</v>
      </c>
      <c r="U83" s="12">
        <f t="shared" si="5"/>
        <v>2.631717019577001</v>
      </c>
    </row>
    <row r="84" spans="1:21" x14ac:dyDescent="0.2">
      <c r="A84" t="s">
        <v>11</v>
      </c>
      <c r="B84" t="s">
        <v>22</v>
      </c>
      <c r="C84" t="s">
        <v>21</v>
      </c>
      <c r="D84" t="s">
        <v>10</v>
      </c>
      <c r="E84">
        <v>2</v>
      </c>
      <c r="F84">
        <v>24.27</v>
      </c>
      <c r="G84">
        <v>2.0299999999999998</v>
      </c>
      <c r="H84" s="5">
        <f>G84/F84</f>
        <v>8.3642356819118246E-2</v>
      </c>
      <c r="J84" s="16">
        <f>IF(A84="Male",0, 1)</f>
        <v>0</v>
      </c>
      <c r="K84" s="13">
        <f>IF(B84="No",0, 1)</f>
        <v>1</v>
      </c>
      <c r="L84" s="13">
        <f>IF(C84="Mon",1,IF(C84="Tues",2,IF(C84="Wed",3,IF(C84="Thur",4,IF(C84="Fri",5,IF(C84="Sat",6,7))))))</f>
        <v>6</v>
      </c>
      <c r="M84" s="13">
        <f>IF(D84="Lunch",0,1)</f>
        <v>1</v>
      </c>
      <c r="N84" s="13">
        <v>2</v>
      </c>
      <c r="O84" s="13">
        <v>15.06</v>
      </c>
      <c r="P84" s="13">
        <v>3</v>
      </c>
      <c r="Q84" s="15">
        <f>P84/O84</f>
        <v>0.19920318725099601</v>
      </c>
      <c r="R84" s="15">
        <f>AVERAGE(IF(A84="Female",GETPIVOTDATA("tip %",$W$26,"sex","Female"),GETPIVOTDATA("tip %",$W$26,"sex","Male")),IF(K84=0,GETPIVOTDATA("tip %",$AA$26,"smoker","No"),GETPIVOTDATA("tip %",$AA$26,"smoker","Yes")),IF(C84=$W$33,GETPIVOTDATA("tip %",$W$32,"day","Thur"),IF(C84=$W$34,GETPIVOTDATA("tip %",$W$32,"day","Fri"),IF(C84=$W$35,GETPIVOTDATA("tip %",$W$32,"day","Sat"),IF(C84=$W$36,GETPIVOTDATA("tip %",$W$32,"day","Sun"),GETPIVOTDATA("tip %",$W$32))))),IF(D84=$AE$27,GETPIVOTDATA("tip %",$AE$26,"time","Dinner"),GETPIVOTDATA("tip %",$AE$26,"time","Lunch")),IF(N84=$AA$33,GETPIVOTDATA("Average of tip %",$AA$32,"size",1),IF(N84=$AA$34,GETPIVOTDATA("Average of tip %",$AA$32,"size",2),IF(N84=$AA$35,GETPIVOTDATA("Average of tip %",$AA$32,"size",3),IF(N84=$AA$36,GETPIVOTDATA("Average of tip %",$AA$32,"size",4),IF(N84=$AA$37,GETPIVOTDATA("Average of tip %",$AA$32,"size",5),GETPIVOTDATA("Average of tip %",$AA$32,"size",6)))))))</f>
        <v>0.15984705770871196</v>
      </c>
      <c r="S84" s="14">
        <f t="shared" si="3"/>
        <v>2.9552818213886538</v>
      </c>
      <c r="T84" s="17">
        <f t="shared" si="4"/>
        <v>2.4072966890932022</v>
      </c>
      <c r="U84" s="12">
        <f t="shared" si="5"/>
        <v>2.681289255240928</v>
      </c>
    </row>
    <row r="85" spans="1:21" x14ac:dyDescent="0.2">
      <c r="A85" t="s">
        <v>11</v>
      </c>
      <c r="B85" t="s">
        <v>8</v>
      </c>
      <c r="C85" t="s">
        <v>9</v>
      </c>
      <c r="D85" t="s">
        <v>10</v>
      </c>
      <c r="E85">
        <v>3</v>
      </c>
      <c r="F85">
        <v>28.55</v>
      </c>
      <c r="G85">
        <v>2.0499999999999998</v>
      </c>
      <c r="H85" s="5">
        <f>G85/F85</f>
        <v>7.1803852889667244E-2</v>
      </c>
      <c r="J85" s="16">
        <f>IF(A85="Male",0, 1)</f>
        <v>0</v>
      </c>
      <c r="K85" s="13">
        <f>IF(B85="No",0, 1)</f>
        <v>0</v>
      </c>
      <c r="L85" s="13">
        <f>IF(C85="Mon",1,IF(C85="Tues",2,IF(C85="Wed",3,IF(C85="Thur",4,IF(C85="Fri",5,IF(C85="Sat",6,7))))))</f>
        <v>7</v>
      </c>
      <c r="M85" s="13">
        <f>IF(D85="Lunch",0,1)</f>
        <v>1</v>
      </c>
      <c r="N85" s="13">
        <v>2</v>
      </c>
      <c r="O85" s="13">
        <v>15.36</v>
      </c>
      <c r="P85" s="13">
        <v>1.64</v>
      </c>
      <c r="Q85" s="15">
        <f>P85/O85</f>
        <v>0.10677083333333333</v>
      </c>
      <c r="R85" s="15">
        <f>AVERAGE(IF(A85="Female",GETPIVOTDATA("tip %",$W$26,"sex","Female"),GETPIVOTDATA("tip %",$W$26,"sex","Male")),IF(K85=0,GETPIVOTDATA("tip %",$AA$26,"smoker","No"),GETPIVOTDATA("tip %",$AA$26,"smoker","Yes")),IF(C85=$W$33,GETPIVOTDATA("tip %",$W$32,"day","Thur"),IF(C85=$W$34,GETPIVOTDATA("tip %",$W$32,"day","Fri"),IF(C85=$W$35,GETPIVOTDATA("tip %",$W$32,"day","Sat"),IF(C85=$W$36,GETPIVOTDATA("tip %",$W$32,"day","Sun"),GETPIVOTDATA("tip %",$W$32))))),IF(D85=$AE$27,GETPIVOTDATA("tip %",$AE$26,"time","Dinner"),GETPIVOTDATA("tip %",$AE$26,"time","Lunch")),IF(N85=$AA$33,GETPIVOTDATA("Average of tip %",$AA$32,"size",1),IF(N85=$AA$34,GETPIVOTDATA("Average of tip %",$AA$32,"size",2),IF(N85=$AA$35,GETPIVOTDATA("Average of tip %",$AA$32,"size",3),IF(N85=$AA$36,GETPIVOTDATA("Average of tip %",$AA$32,"size",4),IF(N85=$AA$37,GETPIVOTDATA("Average of tip %",$AA$32,"size",5),GETPIVOTDATA("Average of tip %",$AA$32,"size",6)))))))</f>
        <v>0.16182265520985073</v>
      </c>
      <c r="S85" s="14">
        <f t="shared" si="3"/>
        <v>3.1664864134520667</v>
      </c>
      <c r="T85" s="17">
        <f t="shared" si="4"/>
        <v>2.4855959840233073</v>
      </c>
      <c r="U85" s="12">
        <f t="shared" si="5"/>
        <v>2.8260411987376868</v>
      </c>
    </row>
    <row r="86" spans="1:21" x14ac:dyDescent="0.2">
      <c r="A86" t="s">
        <v>11</v>
      </c>
      <c r="B86" t="s">
        <v>22</v>
      </c>
      <c r="C86" t="s">
        <v>21</v>
      </c>
      <c r="D86" t="s">
        <v>10</v>
      </c>
      <c r="E86">
        <v>2</v>
      </c>
      <c r="F86">
        <v>15.01</v>
      </c>
      <c r="G86">
        <v>2.09</v>
      </c>
      <c r="H86" s="5">
        <f>G86/F86</f>
        <v>0.13924050632911392</v>
      </c>
      <c r="J86" s="16">
        <f>IF(A86="Male",0, 1)</f>
        <v>0</v>
      </c>
      <c r="K86" s="13">
        <f>IF(B86="No",0, 1)</f>
        <v>1</v>
      </c>
      <c r="L86" s="13">
        <f>IF(C86="Mon",1,IF(C86="Tues",2,IF(C86="Wed",3,IF(C86="Thur",4,IF(C86="Fri",5,IF(C86="Sat",6,7))))))</f>
        <v>6</v>
      </c>
      <c r="M86" s="13">
        <f>IF(D86="Lunch",0,1)</f>
        <v>1</v>
      </c>
      <c r="N86" s="13">
        <v>2</v>
      </c>
      <c r="O86" s="13">
        <v>15.38</v>
      </c>
      <c r="P86" s="13">
        <v>3</v>
      </c>
      <c r="Q86" s="15">
        <f>P86/O86</f>
        <v>0.19505851755526657</v>
      </c>
      <c r="R86" s="15">
        <f>AVERAGE(IF(A86="Female",GETPIVOTDATA("tip %",$W$26,"sex","Female"),GETPIVOTDATA("tip %",$W$26,"sex","Male")),IF(K86=0,GETPIVOTDATA("tip %",$AA$26,"smoker","No"),GETPIVOTDATA("tip %",$AA$26,"smoker","Yes")),IF(C86=$W$33,GETPIVOTDATA("tip %",$W$32,"day","Thur"),IF(C86=$W$34,GETPIVOTDATA("tip %",$W$32,"day","Fri"),IF(C86=$W$35,GETPIVOTDATA("tip %",$W$32,"day","Sat"),IF(C86=$W$36,GETPIVOTDATA("tip %",$W$32,"day","Sun"),GETPIVOTDATA("tip %",$W$32))))),IF(D86=$AE$27,GETPIVOTDATA("tip %",$AE$26,"time","Dinner"),GETPIVOTDATA("tip %",$AE$26,"time","Lunch")),IF(N86=$AA$33,GETPIVOTDATA("Average of tip %",$AA$32,"size",1),IF(N86=$AA$34,GETPIVOTDATA("Average of tip %",$AA$32,"size",2),IF(N86=$AA$35,GETPIVOTDATA("Average of tip %",$AA$32,"size",3),IF(N86=$AA$36,GETPIVOTDATA("Average of tip %",$AA$32,"size",4),IF(N86=$AA$37,GETPIVOTDATA("Average of tip %",$AA$32,"size",5),GETPIVOTDATA("Average of tip %",$AA$32,"size",6)))))))</f>
        <v>0.15984705770871196</v>
      </c>
      <c r="S86" s="14">
        <f t="shared" si="3"/>
        <v>2.9552818213886538</v>
      </c>
      <c r="T86" s="17">
        <f t="shared" si="4"/>
        <v>2.45844774755999</v>
      </c>
      <c r="U86" s="12">
        <f t="shared" si="5"/>
        <v>2.7068647844743219</v>
      </c>
    </row>
    <row r="87" spans="1:21" x14ac:dyDescent="0.2">
      <c r="A87" t="s">
        <v>11</v>
      </c>
      <c r="B87" t="s">
        <v>8</v>
      </c>
      <c r="C87" t="s">
        <v>23</v>
      </c>
      <c r="D87" t="s">
        <v>24</v>
      </c>
      <c r="E87">
        <v>3</v>
      </c>
      <c r="F87">
        <v>22.82</v>
      </c>
      <c r="G87">
        <v>2.1800000000000002</v>
      </c>
      <c r="H87" s="5">
        <f>G87/F87</f>
        <v>9.5530236634531113E-2</v>
      </c>
      <c r="J87" s="16">
        <f>IF(A87="Male",0, 1)</f>
        <v>0</v>
      </c>
      <c r="K87" s="13">
        <f>IF(B87="No",0, 1)</f>
        <v>0</v>
      </c>
      <c r="L87" s="13">
        <f>IF(C87="Mon",1,IF(C87="Tues",2,IF(C87="Wed",3,IF(C87="Thur",4,IF(C87="Fri",5,IF(C87="Sat",6,7))))))</f>
        <v>4</v>
      </c>
      <c r="M87" s="13">
        <f>IF(D87="Lunch",0,1)</f>
        <v>0</v>
      </c>
      <c r="N87" s="13">
        <v>2</v>
      </c>
      <c r="O87" s="13">
        <v>15.42</v>
      </c>
      <c r="P87" s="13">
        <v>1.57</v>
      </c>
      <c r="Q87" s="15">
        <f>P87/O87</f>
        <v>0.10181582360570687</v>
      </c>
      <c r="R87" s="15">
        <f>AVERAGE(IF(A87="Female",GETPIVOTDATA("tip %",$W$26,"sex","Female"),GETPIVOTDATA("tip %",$W$26,"sex","Male")),IF(K87=0,GETPIVOTDATA("tip %",$AA$26,"smoker","No"),GETPIVOTDATA("tip %",$AA$26,"smoker","Yes")),IF(C87=$W$33,GETPIVOTDATA("tip %",$W$32,"day","Thur"),IF(C87=$W$34,GETPIVOTDATA("tip %",$W$32,"day","Fri"),IF(C87=$W$35,GETPIVOTDATA("tip %",$W$32,"day","Sat"),IF(C87=$W$36,GETPIVOTDATA("tip %",$W$32,"day","Sun"),GETPIVOTDATA("tip %",$W$32))))),IF(D87=$AE$27,GETPIVOTDATA("tip %",$AE$26,"time","Dinner"),GETPIVOTDATA("tip %",$AE$26,"time","Lunch")),IF(N87=$AA$33,GETPIVOTDATA("Average of tip %",$AA$32,"size",1),IF(N87=$AA$34,GETPIVOTDATA("Average of tip %",$AA$32,"size",2),IF(N87=$AA$35,GETPIVOTDATA("Average of tip %",$AA$32,"size",3),IF(N87=$AA$36,GETPIVOTDATA("Average of tip %",$AA$32,"size",4),IF(N87=$AA$37,GETPIVOTDATA("Average of tip %",$AA$32,"size",5),GETPIVOTDATA("Average of tip %",$AA$32,"size",6)))))))</f>
        <v>0.16162035260949875</v>
      </c>
      <c r="S87" s="14">
        <f t="shared" si="3"/>
        <v>2.9948339763929708</v>
      </c>
      <c r="T87" s="17">
        <f t="shared" si="4"/>
        <v>2.4921858372384706</v>
      </c>
      <c r="U87" s="12">
        <f t="shared" si="5"/>
        <v>2.7435099068157207</v>
      </c>
    </row>
    <row r="88" spans="1:21" x14ac:dyDescent="0.2">
      <c r="A88" t="s">
        <v>7</v>
      </c>
      <c r="B88" t="s">
        <v>8</v>
      </c>
      <c r="C88" t="s">
        <v>21</v>
      </c>
      <c r="D88" t="s">
        <v>10</v>
      </c>
      <c r="E88">
        <v>2</v>
      </c>
      <c r="F88">
        <v>14.73</v>
      </c>
      <c r="G88">
        <v>2.2000000000000002</v>
      </c>
      <c r="H88" s="5">
        <f>G88/F88</f>
        <v>0.14935505770536323</v>
      </c>
      <c r="J88" s="16">
        <f>IF(A88="Male",0, 1)</f>
        <v>1</v>
      </c>
      <c r="K88" s="13">
        <f>IF(B88="No",0, 1)</f>
        <v>0</v>
      </c>
      <c r="L88" s="13">
        <f>IF(C88="Mon",1,IF(C88="Tues",2,IF(C88="Wed",3,IF(C88="Thur",4,IF(C88="Fri",5,IF(C88="Sat",6,7))))))</f>
        <v>6</v>
      </c>
      <c r="M88" s="13">
        <f>IF(D88="Lunch",0,1)</f>
        <v>1</v>
      </c>
      <c r="N88" s="13">
        <v>2</v>
      </c>
      <c r="O88" s="13">
        <v>15.48</v>
      </c>
      <c r="P88" s="13">
        <v>2.02</v>
      </c>
      <c r="Q88" s="15">
        <f>P88/O88</f>
        <v>0.13049095607235142</v>
      </c>
      <c r="R88" s="15">
        <f>AVERAGE(IF(A88="Female",GETPIVOTDATA("tip %",$W$26,"sex","Female"),GETPIVOTDATA("tip %",$W$26,"sex","Male")),IF(K88=0,GETPIVOTDATA("tip %",$AA$26,"smoker","No"),GETPIVOTDATA("tip %",$AA$26,"smoker","Yes")),IF(C88=$W$33,GETPIVOTDATA("tip %",$W$32,"day","Thur"),IF(C88=$W$34,GETPIVOTDATA("tip %",$W$32,"day","Fri"),IF(C88=$W$35,GETPIVOTDATA("tip %",$W$32,"day","Sat"),IF(C88=$W$36,GETPIVOTDATA("tip %",$W$32,"day","Sun"),GETPIVOTDATA("tip %",$W$32))))),IF(D88=$AE$27,GETPIVOTDATA("tip %",$AE$26,"time","Dinner"),GETPIVOTDATA("tip %",$AE$26,"time","Lunch")),IF(N88=$AA$33,GETPIVOTDATA("Average of tip %",$AA$32,"size",1),IF(N88=$AA$34,GETPIVOTDATA("Average of tip %",$AA$32,"size",2),IF(N88=$AA$35,GETPIVOTDATA("Average of tip %",$AA$32,"size",3),IF(N88=$AA$36,GETPIVOTDATA("Average of tip %",$AA$32,"size",4),IF(N88=$AA$37,GETPIVOTDATA("Average of tip %",$AA$32,"size",5),GETPIVOTDATA("Average of tip %",$AA$32,"size",6)))))))</f>
        <v>0.16084157908210489</v>
      </c>
      <c r="S88" s="14">
        <f t="shared" si="3"/>
        <v>2.9006768351253682</v>
      </c>
      <c r="T88" s="17">
        <f t="shared" si="4"/>
        <v>2.4898276441909837</v>
      </c>
      <c r="U88" s="12">
        <f t="shared" si="5"/>
        <v>2.695252239658176</v>
      </c>
    </row>
    <row r="89" spans="1:21" x14ac:dyDescent="0.2">
      <c r="A89" t="s">
        <v>11</v>
      </c>
      <c r="B89" t="s">
        <v>22</v>
      </c>
      <c r="C89" t="s">
        <v>25</v>
      </c>
      <c r="D89" t="s">
        <v>24</v>
      </c>
      <c r="E89">
        <v>2</v>
      </c>
      <c r="F89">
        <v>12.16</v>
      </c>
      <c r="G89">
        <v>2.2000000000000002</v>
      </c>
      <c r="H89" s="5">
        <f>G89/F89</f>
        <v>0.18092105263157895</v>
      </c>
      <c r="J89" s="16">
        <f>IF(A89="Male",0, 1)</f>
        <v>0</v>
      </c>
      <c r="K89" s="13">
        <f>IF(B89="No",0, 1)</f>
        <v>1</v>
      </c>
      <c r="L89" s="13">
        <f>IF(C89="Mon",1,IF(C89="Tues",2,IF(C89="Wed",3,IF(C89="Thur",4,IF(C89="Fri",5,IF(C89="Sat",6,7))))))</f>
        <v>5</v>
      </c>
      <c r="M89" s="13">
        <f>IF(D89="Lunch",0,1)</f>
        <v>0</v>
      </c>
      <c r="N89" s="13">
        <v>2</v>
      </c>
      <c r="O89" s="13">
        <v>15.53</v>
      </c>
      <c r="P89" s="13">
        <v>3</v>
      </c>
      <c r="Q89" s="15">
        <f>P89/O89</f>
        <v>0.19317450096587252</v>
      </c>
      <c r="R89" s="15">
        <f>AVERAGE(IF(A89="Female",GETPIVOTDATA("tip %",$W$26,"sex","Female"),GETPIVOTDATA("tip %",$W$26,"sex","Male")),IF(K89=0,GETPIVOTDATA("tip %",$AA$26,"smoker","No"),GETPIVOTDATA("tip %",$AA$26,"smoker","Yes")),IF(C89=$W$33,GETPIVOTDATA("tip %",$W$32,"day","Thur"),IF(C89=$W$34,GETPIVOTDATA("tip %",$W$32,"day","Fri"),IF(C89=$W$35,GETPIVOTDATA("tip %",$W$32,"day","Sat"),IF(C89=$W$36,GETPIVOTDATA("tip %",$W$32,"day","Sun"),GETPIVOTDATA("tip %",$W$32))))),IF(D89=$AE$27,GETPIVOTDATA("tip %",$AE$26,"time","Dinner"),GETPIVOTDATA("tip %",$AE$26,"time","Lunch")),IF(N89=$AA$33,GETPIVOTDATA("Average of tip %",$AA$32,"size",1),IF(N89=$AA$34,GETPIVOTDATA("Average of tip %",$AA$32,"size",2),IF(N89=$AA$35,GETPIVOTDATA("Average of tip %",$AA$32,"size",3),IF(N89=$AA$36,GETPIVOTDATA("Average of tip %",$AA$32,"size",4),IF(N89=$AA$37,GETPIVOTDATA("Average of tip %",$AA$32,"size",5),GETPIVOTDATA("Average of tip %",$AA$32,"size",6)))))))</f>
        <v>0.16412134805439765</v>
      </c>
      <c r="S89" s="14">
        <f t="shared" si="3"/>
        <v>2.8286920563042663</v>
      </c>
      <c r="T89" s="17">
        <f t="shared" si="4"/>
        <v>2.5488045352847957</v>
      </c>
      <c r="U89" s="12">
        <f t="shared" si="5"/>
        <v>2.688748295794531</v>
      </c>
    </row>
    <row r="90" spans="1:21" x14ac:dyDescent="0.2">
      <c r="A90" t="s">
        <v>7</v>
      </c>
      <c r="B90" t="s">
        <v>8</v>
      </c>
      <c r="C90" t="s">
        <v>21</v>
      </c>
      <c r="D90" t="s">
        <v>10</v>
      </c>
      <c r="E90">
        <v>2</v>
      </c>
      <c r="F90">
        <v>15.77</v>
      </c>
      <c r="G90">
        <v>2.23</v>
      </c>
      <c r="H90" s="5">
        <f>G90/F90</f>
        <v>0.14140773620798985</v>
      </c>
      <c r="J90" s="16">
        <f>IF(A90="Male",0, 1)</f>
        <v>1</v>
      </c>
      <c r="K90" s="13">
        <f>IF(B90="No",0, 1)</f>
        <v>0</v>
      </c>
      <c r="L90" s="13">
        <f>IF(C90="Mon",1,IF(C90="Tues",2,IF(C90="Wed",3,IF(C90="Thur",4,IF(C90="Fri",5,IF(C90="Sat",6,7))))))</f>
        <v>6</v>
      </c>
      <c r="M90" s="13">
        <f>IF(D90="Lunch",0,1)</f>
        <v>1</v>
      </c>
      <c r="N90" s="13">
        <v>2</v>
      </c>
      <c r="O90" s="13">
        <v>15.69</v>
      </c>
      <c r="P90" s="13">
        <v>1.5</v>
      </c>
      <c r="Q90" s="15">
        <f>P90/O90</f>
        <v>9.5602294455066919E-2</v>
      </c>
      <c r="R90" s="15">
        <f>AVERAGE(IF(A90="Female",GETPIVOTDATA("tip %",$W$26,"sex","Female"),GETPIVOTDATA("tip %",$W$26,"sex","Male")),IF(K90=0,GETPIVOTDATA("tip %",$AA$26,"smoker","No"),GETPIVOTDATA("tip %",$AA$26,"smoker","Yes")),IF(C90=$W$33,GETPIVOTDATA("tip %",$W$32,"day","Thur"),IF(C90=$W$34,GETPIVOTDATA("tip %",$W$32,"day","Fri"),IF(C90=$W$35,GETPIVOTDATA("tip %",$W$32,"day","Sat"),IF(C90=$W$36,GETPIVOTDATA("tip %",$W$32,"day","Sun"),GETPIVOTDATA("tip %",$W$32))))),IF(D90=$AE$27,GETPIVOTDATA("tip %",$AE$26,"time","Dinner"),GETPIVOTDATA("tip %",$AE$26,"time","Lunch")),IF(N90=$AA$33,GETPIVOTDATA("Average of tip %",$AA$32,"size",1),IF(N90=$AA$34,GETPIVOTDATA("Average of tip %",$AA$32,"size",2),IF(N90=$AA$35,GETPIVOTDATA("Average of tip %",$AA$32,"size",3),IF(N90=$AA$36,GETPIVOTDATA("Average of tip %",$AA$32,"size",4),IF(N90=$AA$37,GETPIVOTDATA("Average of tip %",$AA$32,"size",5),GETPIVOTDATA("Average of tip %",$AA$32,"size",6)))))))</f>
        <v>0.16084157908210489</v>
      </c>
      <c r="S90" s="14">
        <f t="shared" si="3"/>
        <v>2.9006768351253682</v>
      </c>
      <c r="T90" s="17">
        <f t="shared" si="4"/>
        <v>2.5236043757982256</v>
      </c>
      <c r="U90" s="12">
        <f t="shared" si="5"/>
        <v>2.7121406054617969</v>
      </c>
    </row>
    <row r="91" spans="1:21" x14ac:dyDescent="0.2">
      <c r="A91" t="s">
        <v>7</v>
      </c>
      <c r="B91" t="s">
        <v>22</v>
      </c>
      <c r="C91" t="s">
        <v>21</v>
      </c>
      <c r="D91" t="s">
        <v>10</v>
      </c>
      <c r="E91">
        <v>2</v>
      </c>
      <c r="F91">
        <v>12.76</v>
      </c>
      <c r="G91">
        <v>2.23</v>
      </c>
      <c r="H91" s="5">
        <f>G91/F91</f>
        <v>0.17476489028213166</v>
      </c>
      <c r="J91" s="16">
        <f>IF(A91="Male",0, 1)</f>
        <v>1</v>
      </c>
      <c r="K91" s="13">
        <f>IF(B91="No",0, 1)</f>
        <v>1</v>
      </c>
      <c r="L91" s="13">
        <f>IF(C91="Mon",1,IF(C91="Tues",2,IF(C91="Wed",3,IF(C91="Thur",4,IF(C91="Fri",5,IF(C91="Sat",6,7))))))</f>
        <v>6</v>
      </c>
      <c r="M91" s="13">
        <f>IF(D91="Lunch",0,1)</f>
        <v>1</v>
      </c>
      <c r="N91" s="13">
        <v>3</v>
      </c>
      <c r="O91" s="13">
        <v>15.69</v>
      </c>
      <c r="P91" s="13">
        <v>3</v>
      </c>
      <c r="Q91" s="15">
        <f>P91/O91</f>
        <v>0.19120458891013384</v>
      </c>
      <c r="R91" s="15">
        <f>AVERAGE(IF(A91="Female",GETPIVOTDATA("tip %",$W$26,"sex","Female"),GETPIVOTDATA("tip %",$W$26,"sex","Male")),IF(K91=0,GETPIVOTDATA("tip %",$AA$26,"smoker","No"),GETPIVOTDATA("tip %",$AA$26,"smoker","Yes")),IF(C91=$W$33,GETPIVOTDATA("tip %",$W$32,"day","Thur"),IF(C91=$W$34,GETPIVOTDATA("tip %",$W$32,"day","Fri"),IF(C91=$W$35,GETPIVOTDATA("tip %",$W$32,"day","Sat"),IF(C91=$W$36,GETPIVOTDATA("tip %",$W$32,"day","Sun"),GETPIVOTDATA("tip %",$W$32))))),IF(D91=$AE$27,GETPIVOTDATA("tip %",$AE$26,"time","Dinner"),GETPIVOTDATA("tip %",$AE$26,"time","Lunch")),IF(N91=$AA$33,GETPIVOTDATA("Average of tip %",$AA$32,"size",1),IF(N91=$AA$34,GETPIVOTDATA("Average of tip %",$AA$32,"size",2),IF(N91=$AA$35,GETPIVOTDATA("Average of tip %",$AA$32,"size",3),IF(N91=$AA$36,GETPIVOTDATA("Average of tip %",$AA$32,"size",4),IF(N91=$AA$37,GETPIVOTDATA("Average of tip %",$AA$32,"size",5),GETPIVOTDATA("Average of tip %",$AA$32,"size",6)))))))</f>
        <v>0.15890262817409534</v>
      </c>
      <c r="S91" s="14">
        <f t="shared" si="3"/>
        <v>2.9040479096820868</v>
      </c>
      <c r="T91" s="17">
        <f t="shared" si="4"/>
        <v>2.4931822360515556</v>
      </c>
      <c r="U91" s="12">
        <f t="shared" si="5"/>
        <v>2.6986150728668212</v>
      </c>
    </row>
    <row r="92" spans="1:21" x14ac:dyDescent="0.2">
      <c r="A92" t="s">
        <v>11</v>
      </c>
      <c r="B92" t="s">
        <v>8</v>
      </c>
      <c r="C92" t="s">
        <v>9</v>
      </c>
      <c r="D92" t="s">
        <v>10</v>
      </c>
      <c r="E92">
        <v>2</v>
      </c>
      <c r="F92">
        <v>20.76</v>
      </c>
      <c r="G92">
        <v>2.2400000000000002</v>
      </c>
      <c r="H92" s="5">
        <f>G92/F92</f>
        <v>0.10789980732177264</v>
      </c>
      <c r="J92" s="16">
        <f>IF(A92="Male",0, 1)</f>
        <v>0</v>
      </c>
      <c r="K92" s="13">
        <f>IF(B92="No",0, 1)</f>
        <v>0</v>
      </c>
      <c r="L92" s="13">
        <f>IF(C92="Mon",1,IF(C92="Tues",2,IF(C92="Wed",3,IF(C92="Thur",4,IF(C92="Fri",5,IF(C92="Sat",6,7))))))</f>
        <v>7</v>
      </c>
      <c r="M92" s="13">
        <f>IF(D92="Lunch",0,1)</f>
        <v>1</v>
      </c>
      <c r="N92" s="13">
        <v>2</v>
      </c>
      <c r="O92" s="13">
        <v>15.77</v>
      </c>
      <c r="P92" s="13">
        <v>2.23</v>
      </c>
      <c r="Q92" s="15">
        <f>P92/O92</f>
        <v>0.14140773620798985</v>
      </c>
      <c r="R92" s="15">
        <f>AVERAGE(IF(A92="Female",GETPIVOTDATA("tip %",$W$26,"sex","Female"),GETPIVOTDATA("tip %",$W$26,"sex","Male")),IF(K92=0,GETPIVOTDATA("tip %",$AA$26,"smoker","No"),GETPIVOTDATA("tip %",$AA$26,"smoker","Yes")),IF(C92=$W$33,GETPIVOTDATA("tip %",$W$32,"day","Thur"),IF(C92=$W$34,GETPIVOTDATA("tip %",$W$32,"day","Fri"),IF(C92=$W$35,GETPIVOTDATA("tip %",$W$32,"day","Sat"),IF(C92=$W$36,GETPIVOTDATA("tip %",$W$32,"day","Sun"),GETPIVOTDATA("tip %",$W$32))))),IF(D92=$AE$27,GETPIVOTDATA("tip %",$AE$26,"time","Dinner"),GETPIVOTDATA("tip %",$AE$26,"time","Lunch")),IF(N92=$AA$33,GETPIVOTDATA("Average of tip %",$AA$32,"size",1),IF(N92=$AA$34,GETPIVOTDATA("Average of tip %",$AA$32,"size",2),IF(N92=$AA$35,GETPIVOTDATA("Average of tip %",$AA$32,"size",3),IF(N92=$AA$36,GETPIVOTDATA("Average of tip %",$AA$32,"size",4),IF(N92=$AA$37,GETPIVOTDATA("Average of tip %",$AA$32,"size",5),GETPIVOTDATA("Average of tip %",$AA$32,"size",6)))))))</f>
        <v>0.16182265520985073</v>
      </c>
      <c r="S92" s="14">
        <f t="shared" si="3"/>
        <v>3.0043163729662368</v>
      </c>
      <c r="T92" s="17">
        <f t="shared" si="4"/>
        <v>2.5519432726593458</v>
      </c>
      <c r="U92" s="12">
        <f t="shared" si="5"/>
        <v>2.7781298228127911</v>
      </c>
    </row>
    <row r="93" spans="1:21" x14ac:dyDescent="0.2">
      <c r="A93" t="s">
        <v>11</v>
      </c>
      <c r="B93" t="s">
        <v>8</v>
      </c>
      <c r="C93" t="s">
        <v>21</v>
      </c>
      <c r="D93" t="s">
        <v>10</v>
      </c>
      <c r="E93">
        <v>3</v>
      </c>
      <c r="F93">
        <v>16.04</v>
      </c>
      <c r="G93">
        <v>2.2400000000000002</v>
      </c>
      <c r="H93" s="5">
        <f>G93/F93</f>
        <v>0.13965087281795513</v>
      </c>
      <c r="J93" s="16">
        <f>IF(A93="Male",0, 1)</f>
        <v>0</v>
      </c>
      <c r="K93" s="13">
        <f>IF(B93="No",0, 1)</f>
        <v>0</v>
      </c>
      <c r="L93" s="13">
        <f>IF(C93="Mon",1,IF(C93="Tues",2,IF(C93="Wed",3,IF(C93="Thur",4,IF(C93="Fri",5,IF(C93="Sat",6,7))))))</f>
        <v>6</v>
      </c>
      <c r="M93" s="13">
        <f>IF(D93="Lunch",0,1)</f>
        <v>1</v>
      </c>
      <c r="N93" s="13">
        <v>2</v>
      </c>
      <c r="O93" s="13">
        <v>15.81</v>
      </c>
      <c r="P93" s="13">
        <v>3.16</v>
      </c>
      <c r="Q93" s="15">
        <f>P93/O93</f>
        <v>0.19987349778621127</v>
      </c>
      <c r="R93" s="15">
        <f>AVERAGE(IF(A93="Female",GETPIVOTDATA("tip %",$W$26,"sex","Female"),GETPIVOTDATA("tip %",$W$26,"sex","Male")),IF(K93=0,GETPIVOTDATA("tip %",$AA$26,"smoker","No"),GETPIVOTDATA("tip %",$AA$26,"smoker","Yes")),IF(C93=$W$33,GETPIVOTDATA("tip %",$W$32,"day","Thur"),IF(C93=$W$34,GETPIVOTDATA("tip %",$W$32,"day","Fri"),IF(C93=$W$35,GETPIVOTDATA("tip %",$W$32,"day","Sat"),IF(C93=$W$36,GETPIVOTDATA("tip %",$W$32,"day","Sun"),GETPIVOTDATA("tip %",$W$32))))),IF(D93=$AE$27,GETPIVOTDATA("tip %",$AE$26,"time","Dinner"),GETPIVOTDATA("tip %",$AE$26,"time","Lunch")),IF(N93=$AA$33,GETPIVOTDATA("Average of tip %",$AA$32,"size",1),IF(N93=$AA$34,GETPIVOTDATA("Average of tip %",$AA$32,"size",2),IF(N93=$AA$35,GETPIVOTDATA("Average of tip %",$AA$32,"size",3),IF(N93=$AA$36,GETPIVOTDATA("Average of tip %",$AA$32,"size",4),IF(N93=$AA$37,GETPIVOTDATA("Average of tip %",$AA$32,"size",5),GETPIVOTDATA("Average of tip %",$AA$32,"size",6)))))))</f>
        <v>0.15907354121717945</v>
      </c>
      <c r="S93" s="14">
        <f t="shared" si="3"/>
        <v>3.1140807873177652</v>
      </c>
      <c r="T93" s="17">
        <f t="shared" si="4"/>
        <v>2.5149526866436074</v>
      </c>
      <c r="U93" s="12">
        <f t="shared" si="5"/>
        <v>2.8145167369806865</v>
      </c>
    </row>
    <row r="94" spans="1:21" x14ac:dyDescent="0.2">
      <c r="A94" t="s">
        <v>7</v>
      </c>
      <c r="B94" t="s">
        <v>8</v>
      </c>
      <c r="C94" t="s">
        <v>23</v>
      </c>
      <c r="D94" t="s">
        <v>24</v>
      </c>
      <c r="E94">
        <v>2</v>
      </c>
      <c r="F94">
        <v>16.43</v>
      </c>
      <c r="G94">
        <v>2.2999999999999998</v>
      </c>
      <c r="H94" s="5">
        <f>G94/F94</f>
        <v>0.13998782714546559</v>
      </c>
      <c r="J94" s="16">
        <f>IF(A94="Male",0, 1)</f>
        <v>1</v>
      </c>
      <c r="K94" s="13">
        <f>IF(B94="No",0, 1)</f>
        <v>0</v>
      </c>
      <c r="L94" s="13">
        <f>IF(C94="Mon",1,IF(C94="Tues",2,IF(C94="Wed",3,IF(C94="Thur",4,IF(C94="Fri",5,IF(C94="Sat",6,7))))))</f>
        <v>4</v>
      </c>
      <c r="M94" s="13">
        <f>IF(D94="Lunch",0,1)</f>
        <v>0</v>
      </c>
      <c r="N94" s="13">
        <v>2</v>
      </c>
      <c r="O94" s="13">
        <v>15.95</v>
      </c>
      <c r="P94" s="13">
        <v>2</v>
      </c>
      <c r="Q94" s="15">
        <f>P94/O94</f>
        <v>0.12539184952978058</v>
      </c>
      <c r="R94" s="15">
        <f>AVERAGE(IF(A94="Female",GETPIVOTDATA("tip %",$W$26,"sex","Female"),GETPIVOTDATA("tip %",$W$26,"sex","Male")),IF(K94=0,GETPIVOTDATA("tip %",$AA$26,"smoker","No"),GETPIVOTDATA("tip %",$AA$26,"smoker","Yes")),IF(C94=$W$33,GETPIVOTDATA("tip %",$W$32,"day","Thur"),IF(C94=$W$34,GETPIVOTDATA("tip %",$W$32,"day","Fri"),IF(C94=$W$35,GETPIVOTDATA("tip %",$W$32,"day","Sat"),IF(C94=$W$36,GETPIVOTDATA("tip %",$W$32,"day","Sun"),GETPIVOTDATA("tip %",$W$32))))),IF(D94=$AE$27,GETPIVOTDATA("tip %",$AE$26,"time","Dinner"),GETPIVOTDATA("tip %",$AE$26,"time","Lunch")),IF(N94=$AA$33,GETPIVOTDATA("Average of tip %",$AA$32,"size",1),IF(N94=$AA$34,GETPIVOTDATA("Average of tip %",$AA$32,"size",2),IF(N94=$AA$35,GETPIVOTDATA("Average of tip %",$AA$32,"size",3),IF(N94=$AA$36,GETPIVOTDATA("Average of tip %",$AA$32,"size",4),IF(N94=$AA$37,GETPIVOTDATA("Average of tip %",$AA$32,"size",5),GETPIVOTDATA("Average of tip %",$AA$32,"size",6)))))))</f>
        <v>0.16338839047442422</v>
      </c>
      <c r="S94" s="14">
        <f t="shared" si="3"/>
        <v>2.7814300242005734</v>
      </c>
      <c r="T94" s="17">
        <f t="shared" si="4"/>
        <v>2.6060448280670663</v>
      </c>
      <c r="U94" s="12">
        <f t="shared" si="5"/>
        <v>2.6937374261338198</v>
      </c>
    </row>
    <row r="95" spans="1:21" x14ac:dyDescent="0.2">
      <c r="A95" t="s">
        <v>11</v>
      </c>
      <c r="B95" t="s">
        <v>8</v>
      </c>
      <c r="C95" t="s">
        <v>23</v>
      </c>
      <c r="D95" t="s">
        <v>24</v>
      </c>
      <c r="E95">
        <v>2</v>
      </c>
      <c r="F95">
        <v>11.69</v>
      </c>
      <c r="G95">
        <v>2.31</v>
      </c>
      <c r="H95" s="5">
        <f>G95/F95</f>
        <v>0.19760479041916168</v>
      </c>
      <c r="J95" s="16">
        <f>IF(A95="Male",0, 1)</f>
        <v>0</v>
      </c>
      <c r="K95" s="13">
        <f>IF(B95="No",0, 1)</f>
        <v>0</v>
      </c>
      <c r="L95" s="13">
        <f>IF(C95="Mon",1,IF(C95="Tues",2,IF(C95="Wed",3,IF(C95="Thur",4,IF(C95="Fri",5,IF(C95="Sat",6,7))))))</f>
        <v>4</v>
      </c>
      <c r="M95" s="13">
        <f>IF(D95="Lunch",0,1)</f>
        <v>0</v>
      </c>
      <c r="N95" s="13">
        <v>2</v>
      </c>
      <c r="O95" s="13">
        <v>15.98</v>
      </c>
      <c r="P95" s="13">
        <v>2.0299999999999998</v>
      </c>
      <c r="Q95" s="15">
        <f>P95/O95</f>
        <v>0.12703379224030037</v>
      </c>
      <c r="R95" s="15">
        <f>AVERAGE(IF(A95="Female",GETPIVOTDATA("tip %",$W$26,"sex","Female"),GETPIVOTDATA("tip %",$W$26,"sex","Male")),IF(K95=0,GETPIVOTDATA("tip %",$AA$26,"smoker","No"),GETPIVOTDATA("tip %",$AA$26,"smoker","Yes")),IF(C95=$W$33,GETPIVOTDATA("tip %",$W$32,"day","Thur"),IF(C95=$W$34,GETPIVOTDATA("tip %",$W$32,"day","Fri"),IF(C95=$W$35,GETPIVOTDATA("tip %",$W$32,"day","Sat"),IF(C95=$W$36,GETPIVOTDATA("tip %",$W$32,"day","Sun"),GETPIVOTDATA("tip %",$W$32))))),IF(D95=$AE$27,GETPIVOTDATA("tip %",$AE$26,"time","Dinner"),GETPIVOTDATA("tip %",$AE$26,"time","Lunch")),IF(N95=$AA$33,GETPIVOTDATA("Average of tip %",$AA$32,"size",1),IF(N95=$AA$34,GETPIVOTDATA("Average of tip %",$AA$32,"size",2),IF(N95=$AA$35,GETPIVOTDATA("Average of tip %",$AA$32,"size",3),IF(N95=$AA$36,GETPIVOTDATA("Average of tip %",$AA$32,"size",4),IF(N95=$AA$37,GETPIVOTDATA("Average of tip %",$AA$32,"size",5),GETPIVOTDATA("Average of tip %",$AA$32,"size",6)))))))</f>
        <v>0.16162035260949875</v>
      </c>
      <c r="S95" s="14">
        <f t="shared" si="3"/>
        <v>2.8326639359071408</v>
      </c>
      <c r="T95" s="17">
        <f t="shared" si="4"/>
        <v>2.5826932346997902</v>
      </c>
      <c r="U95" s="12">
        <f t="shared" si="5"/>
        <v>2.7076785853034657</v>
      </c>
    </row>
    <row r="96" spans="1:21" x14ac:dyDescent="0.2">
      <c r="A96" t="s">
        <v>11</v>
      </c>
      <c r="B96" t="s">
        <v>8</v>
      </c>
      <c r="C96" t="s">
        <v>21</v>
      </c>
      <c r="D96" t="s">
        <v>10</v>
      </c>
      <c r="E96">
        <v>3</v>
      </c>
      <c r="F96">
        <v>18.690000000000001</v>
      </c>
      <c r="G96">
        <v>2.31</v>
      </c>
      <c r="H96" s="5">
        <f>G96/F96</f>
        <v>0.12359550561797752</v>
      </c>
      <c r="J96" s="16">
        <f>IF(A96="Male",0, 1)</f>
        <v>0</v>
      </c>
      <c r="K96" s="13">
        <f>IF(B96="No",0, 1)</f>
        <v>0</v>
      </c>
      <c r="L96" s="13">
        <f>IF(C96="Mon",1,IF(C96="Tues",2,IF(C96="Wed",3,IF(C96="Thur",4,IF(C96="Fri",5,IF(C96="Sat",6,7))))))</f>
        <v>6</v>
      </c>
      <c r="M96" s="13">
        <f>IF(D96="Lunch",0,1)</f>
        <v>1</v>
      </c>
      <c r="N96" s="13">
        <v>3</v>
      </c>
      <c r="O96" s="13">
        <v>15.98</v>
      </c>
      <c r="P96" s="13">
        <v>3</v>
      </c>
      <c r="Q96" s="15">
        <f>P96/O96</f>
        <v>0.18773466833541927</v>
      </c>
      <c r="R96" s="15">
        <f>AVERAGE(IF(A96="Female",GETPIVOTDATA("tip %",$W$26,"sex","Female"),GETPIVOTDATA("tip %",$W$26,"sex","Male")),IF(K96=0,GETPIVOTDATA("tip %",$AA$26,"smoker","No"),GETPIVOTDATA("tip %",$AA$26,"smoker","Yes")),IF(C96=$W$33,GETPIVOTDATA("tip %",$W$32,"day","Thur"),IF(C96=$W$34,GETPIVOTDATA("tip %",$W$32,"day","Fri"),IF(C96=$W$35,GETPIVOTDATA("tip %",$W$32,"day","Sat"),IF(C96=$W$36,GETPIVOTDATA("tip %",$W$32,"day","Sun"),GETPIVOTDATA("tip %",$W$32))))),IF(D96=$AE$27,GETPIVOTDATA("tip %",$AE$26,"time","Dinner"),GETPIVOTDATA("tip %",$AE$26,"time","Lunch")),IF(N96=$AA$33,GETPIVOTDATA("Average of tip %",$AA$32,"size",1),IF(N96=$AA$34,GETPIVOTDATA("Average of tip %",$AA$32,"size",2),IF(N96=$AA$35,GETPIVOTDATA("Average of tip %",$AA$32,"size",3),IF(N96=$AA$36,GETPIVOTDATA("Average of tip %",$AA$32,"size",4),IF(N96=$AA$37,GETPIVOTDATA("Average of tip %",$AA$32,"size",5),GETPIVOTDATA("Average of tip %",$AA$32,"size",6)))))))</f>
        <v>0.15636107381763736</v>
      </c>
      <c r="S96" s="14">
        <f t="shared" si="3"/>
        <v>3.1140807873177652</v>
      </c>
      <c r="T96" s="17">
        <f t="shared" si="4"/>
        <v>2.4986499596058453</v>
      </c>
      <c r="U96" s="12">
        <f t="shared" si="5"/>
        <v>2.806365373461805</v>
      </c>
    </row>
    <row r="97" spans="1:21" x14ac:dyDescent="0.2">
      <c r="A97" t="s">
        <v>11</v>
      </c>
      <c r="B97" t="s">
        <v>8</v>
      </c>
      <c r="C97" t="s">
        <v>21</v>
      </c>
      <c r="D97" t="s">
        <v>10</v>
      </c>
      <c r="E97">
        <v>4</v>
      </c>
      <c r="F97">
        <v>17.809999999999999</v>
      </c>
      <c r="G97">
        <v>2.34</v>
      </c>
      <c r="H97" s="5">
        <f>G97/F97</f>
        <v>0.13138686131386862</v>
      </c>
      <c r="J97" s="16">
        <f>IF(A97="Male",0, 1)</f>
        <v>0</v>
      </c>
      <c r="K97" s="13">
        <f>IF(B97="No",0, 1)</f>
        <v>0</v>
      </c>
      <c r="L97" s="13">
        <f>IF(C97="Mon",1,IF(C97="Tues",2,IF(C97="Wed",3,IF(C97="Thur",4,IF(C97="Fri",5,IF(C97="Sat",6,7))))))</f>
        <v>6</v>
      </c>
      <c r="M97" s="13">
        <f>IF(D97="Lunch",0,1)</f>
        <v>1</v>
      </c>
      <c r="N97" s="13">
        <v>2</v>
      </c>
      <c r="O97" s="13">
        <v>16</v>
      </c>
      <c r="P97" s="13">
        <v>2</v>
      </c>
      <c r="Q97" s="15">
        <f>P97/O97</f>
        <v>0.125</v>
      </c>
      <c r="R97" s="15">
        <f>AVERAGE(IF(A97="Female",GETPIVOTDATA("tip %",$W$26,"sex","Female"),GETPIVOTDATA("tip %",$W$26,"sex","Male")),IF(K97=0,GETPIVOTDATA("tip %",$AA$26,"smoker","No"),GETPIVOTDATA("tip %",$AA$26,"smoker","Yes")),IF(C97=$W$33,GETPIVOTDATA("tip %",$W$32,"day","Thur"),IF(C97=$W$34,GETPIVOTDATA("tip %",$W$32,"day","Fri"),IF(C97=$W$35,GETPIVOTDATA("tip %",$W$32,"day","Sat"),IF(C97=$W$36,GETPIVOTDATA("tip %",$W$32,"day","Sun"),GETPIVOTDATA("tip %",$W$32))))),IF(D97=$AE$27,GETPIVOTDATA("tip %",$AE$26,"time","Dinner"),GETPIVOTDATA("tip %",$AE$26,"time","Lunch")),IF(N97=$AA$33,GETPIVOTDATA("Average of tip %",$AA$32,"size",1),IF(N97=$AA$34,GETPIVOTDATA("Average of tip %",$AA$32,"size",2),IF(N97=$AA$35,GETPIVOTDATA("Average of tip %",$AA$32,"size",3),IF(N97=$AA$36,GETPIVOTDATA("Average of tip %",$AA$32,"size",4),IF(N97=$AA$37,GETPIVOTDATA("Average of tip %",$AA$32,"size",5),GETPIVOTDATA("Average of tip %",$AA$32,"size",6)))))))</f>
        <v>0.15907354121717945</v>
      </c>
      <c r="S97" s="14">
        <f t="shared" si="3"/>
        <v>3.2625302894514783</v>
      </c>
      <c r="T97" s="17">
        <f t="shared" si="4"/>
        <v>2.5451766594748713</v>
      </c>
      <c r="U97" s="12">
        <f t="shared" si="5"/>
        <v>2.9038534744631748</v>
      </c>
    </row>
    <row r="98" spans="1:21" x14ac:dyDescent="0.2">
      <c r="A98" t="s">
        <v>7</v>
      </c>
      <c r="B98" t="s">
        <v>8</v>
      </c>
      <c r="C98" t="s">
        <v>21</v>
      </c>
      <c r="D98" t="s">
        <v>10</v>
      </c>
      <c r="E98">
        <v>4</v>
      </c>
      <c r="F98">
        <v>20.69</v>
      </c>
      <c r="G98">
        <v>2.4500000000000002</v>
      </c>
      <c r="H98" s="5">
        <f>G98/F98</f>
        <v>0.11841469308844853</v>
      </c>
      <c r="J98" s="16">
        <f>IF(A98="Male",0, 1)</f>
        <v>1</v>
      </c>
      <c r="K98" s="13">
        <f>IF(B98="No",0, 1)</f>
        <v>0</v>
      </c>
      <c r="L98" s="13">
        <f>IF(C98="Mon",1,IF(C98="Tues",2,IF(C98="Wed",3,IF(C98="Thur",4,IF(C98="Fri",5,IF(C98="Sat",6,7))))))</f>
        <v>6</v>
      </c>
      <c r="M98" s="13">
        <f>IF(D98="Lunch",0,1)</f>
        <v>1</v>
      </c>
      <c r="N98" s="13">
        <v>3</v>
      </c>
      <c r="O98" s="13">
        <v>16.04</v>
      </c>
      <c r="P98" s="13">
        <v>2.2400000000000002</v>
      </c>
      <c r="Q98" s="15">
        <f>P98/O98</f>
        <v>0.13965087281795513</v>
      </c>
      <c r="R98" s="15">
        <f>AVERAGE(IF(A98="Female",GETPIVOTDATA("tip %",$W$26,"sex","Female"),GETPIVOTDATA("tip %",$W$26,"sex","Male")),IF(K98=0,GETPIVOTDATA("tip %",$AA$26,"smoker","No"),GETPIVOTDATA("tip %",$AA$26,"smoker","Yes")),IF(C98=$W$33,GETPIVOTDATA("tip %",$W$32,"day","Thur"),IF(C98=$W$34,GETPIVOTDATA("tip %",$W$32,"day","Fri"),IF(C98=$W$35,GETPIVOTDATA("tip %",$W$32,"day","Sat"),IF(C98=$W$36,GETPIVOTDATA("tip %",$W$32,"day","Sun"),GETPIVOTDATA("tip %",$W$32))))),IF(D98=$AE$27,GETPIVOTDATA("tip %",$AE$26,"time","Dinner"),GETPIVOTDATA("tip %",$AE$26,"time","Lunch")),IF(N98=$AA$33,GETPIVOTDATA("Average of tip %",$AA$32,"size",1),IF(N98=$AA$34,GETPIVOTDATA("Average of tip %",$AA$32,"size",2),IF(N98=$AA$35,GETPIVOTDATA("Average of tip %",$AA$32,"size",3),IF(N98=$AA$36,GETPIVOTDATA("Average of tip %",$AA$32,"size",4),IF(N98=$AA$37,GETPIVOTDATA("Average of tip %",$AA$32,"size",5),GETPIVOTDATA("Average of tip %",$AA$32,"size",6)))))))</f>
        <v>0.15812911168256277</v>
      </c>
      <c r="S98" s="14">
        <f t="shared" si="3"/>
        <v>3.2112963777449104</v>
      </c>
      <c r="T98" s="17">
        <f t="shared" si="4"/>
        <v>2.5363909513883067</v>
      </c>
      <c r="U98" s="12">
        <f t="shared" si="5"/>
        <v>2.8738436645666088</v>
      </c>
    </row>
    <row r="99" spans="1:21" x14ac:dyDescent="0.2">
      <c r="A99" t="s">
        <v>7</v>
      </c>
      <c r="B99" t="s">
        <v>8</v>
      </c>
      <c r="C99" t="s">
        <v>21</v>
      </c>
      <c r="D99" t="s">
        <v>10</v>
      </c>
      <c r="E99">
        <v>2</v>
      </c>
      <c r="F99">
        <v>16.45</v>
      </c>
      <c r="G99">
        <v>2.4700000000000002</v>
      </c>
      <c r="H99" s="5">
        <f>G99/F99</f>
        <v>0.1501519756838906</v>
      </c>
      <c r="J99" s="16">
        <f>IF(A99="Male",0, 1)</f>
        <v>1</v>
      </c>
      <c r="K99" s="13">
        <f>IF(B99="No",0, 1)</f>
        <v>0</v>
      </c>
      <c r="L99" s="13">
        <f>IF(C99="Mon",1,IF(C99="Tues",2,IF(C99="Wed",3,IF(C99="Thur",4,IF(C99="Fri",5,IF(C99="Sat",6,7))))))</f>
        <v>6</v>
      </c>
      <c r="M99" s="13">
        <f>IF(D99="Lunch",0,1)</f>
        <v>1</v>
      </c>
      <c r="N99" s="13">
        <v>3</v>
      </c>
      <c r="O99" s="13">
        <v>16.21</v>
      </c>
      <c r="P99" s="13">
        <v>2</v>
      </c>
      <c r="Q99" s="15">
        <f>P99/O99</f>
        <v>0.12338062924120913</v>
      </c>
      <c r="R99" s="15">
        <f>AVERAGE(IF(A99="Female",GETPIVOTDATA("tip %",$W$26,"sex","Female"),GETPIVOTDATA("tip %",$W$26,"sex","Male")),IF(K99=0,GETPIVOTDATA("tip %",$AA$26,"smoker","No"),GETPIVOTDATA("tip %",$AA$26,"smoker","Yes")),IF(C99=$W$33,GETPIVOTDATA("tip %",$W$32,"day","Thur"),IF(C99=$W$34,GETPIVOTDATA("tip %",$W$32,"day","Fri"),IF(C99=$W$35,GETPIVOTDATA("tip %",$W$32,"day","Sat"),IF(C99=$W$36,GETPIVOTDATA("tip %",$W$32,"day","Sun"),GETPIVOTDATA("tip %",$W$32))))),IF(D99=$AE$27,GETPIVOTDATA("tip %",$AE$26,"time","Dinner"),GETPIVOTDATA("tip %",$AE$26,"time","Lunch")),IF(N99=$AA$33,GETPIVOTDATA("Average of tip %",$AA$32,"size",1),IF(N99=$AA$34,GETPIVOTDATA("Average of tip %",$AA$32,"size",2),IF(N99=$AA$35,GETPIVOTDATA("Average of tip %",$AA$32,"size",3),IF(N99=$AA$36,GETPIVOTDATA("Average of tip %",$AA$32,"size",4),IF(N99=$AA$37,GETPIVOTDATA("Average of tip %",$AA$32,"size",5),GETPIVOTDATA("Average of tip %",$AA$32,"size",6)))))))</f>
        <v>0.15812911168256277</v>
      </c>
      <c r="S99" s="14">
        <f t="shared" si="3"/>
        <v>2.9006768351253682</v>
      </c>
      <c r="T99" s="17">
        <f t="shared" si="4"/>
        <v>2.5632729003743426</v>
      </c>
      <c r="U99" s="12">
        <f t="shared" si="5"/>
        <v>2.7319748677498552</v>
      </c>
    </row>
    <row r="100" spans="1:21" x14ac:dyDescent="0.2">
      <c r="A100" t="s">
        <v>11</v>
      </c>
      <c r="B100" t="s">
        <v>8</v>
      </c>
      <c r="C100" t="s">
        <v>9</v>
      </c>
      <c r="D100" t="s">
        <v>10</v>
      </c>
      <c r="E100">
        <v>2</v>
      </c>
      <c r="F100">
        <v>12.54</v>
      </c>
      <c r="G100">
        <v>2.5</v>
      </c>
      <c r="H100" s="5">
        <f>G100/F100</f>
        <v>0.19936204146730463</v>
      </c>
      <c r="J100" s="16">
        <f>IF(A100="Male",0, 1)</f>
        <v>0</v>
      </c>
      <c r="K100" s="13">
        <f>IF(B100="No",0, 1)</f>
        <v>0</v>
      </c>
      <c r="L100" s="13">
        <f>IF(C100="Mon",1,IF(C100="Tues",2,IF(C100="Wed",3,IF(C100="Thur",4,IF(C100="Fri",5,IF(C100="Sat",6,7))))))</f>
        <v>7</v>
      </c>
      <c r="M100" s="13">
        <f>IF(D100="Lunch",0,1)</f>
        <v>1</v>
      </c>
      <c r="N100" s="13">
        <v>2</v>
      </c>
      <c r="O100" s="13">
        <v>16.27</v>
      </c>
      <c r="P100" s="13">
        <v>2.5</v>
      </c>
      <c r="Q100" s="15">
        <f>P100/O100</f>
        <v>0.15365703749231716</v>
      </c>
      <c r="R100" s="15">
        <f>AVERAGE(IF(A100="Female",GETPIVOTDATA("tip %",$W$26,"sex","Female"),GETPIVOTDATA("tip %",$W$26,"sex","Male")),IF(K100=0,GETPIVOTDATA("tip %",$AA$26,"smoker","No"),GETPIVOTDATA("tip %",$AA$26,"smoker","Yes")),IF(C100=$W$33,GETPIVOTDATA("tip %",$W$32,"day","Thur"),IF(C100=$W$34,GETPIVOTDATA("tip %",$W$32,"day","Fri"),IF(C100=$W$35,GETPIVOTDATA("tip %",$W$32,"day","Sat"),IF(C100=$W$36,GETPIVOTDATA("tip %",$W$32,"day","Sun"),GETPIVOTDATA("tip %",$W$32))))),IF(D100=$AE$27,GETPIVOTDATA("tip %",$AE$26,"time","Dinner"),GETPIVOTDATA("tip %",$AE$26,"time","Lunch")),IF(N100=$AA$33,GETPIVOTDATA("Average of tip %",$AA$32,"size",1),IF(N100=$AA$34,GETPIVOTDATA("Average of tip %",$AA$32,"size",2),IF(N100=$AA$35,GETPIVOTDATA("Average of tip %",$AA$32,"size",3),IF(N100=$AA$36,GETPIVOTDATA("Average of tip %",$AA$32,"size",4),IF(N100=$AA$37,GETPIVOTDATA("Average of tip %",$AA$32,"size",5),GETPIVOTDATA("Average of tip %",$AA$32,"size",6)))))))</f>
        <v>0.16182265520985073</v>
      </c>
      <c r="S100" s="14">
        <f t="shared" si="3"/>
        <v>3.0043163729662368</v>
      </c>
      <c r="T100" s="17">
        <f t="shared" si="4"/>
        <v>2.6328546002642712</v>
      </c>
      <c r="U100" s="12">
        <f t="shared" si="5"/>
        <v>2.818585486615254</v>
      </c>
    </row>
    <row r="101" spans="1:21" x14ac:dyDescent="0.2">
      <c r="A101" t="s">
        <v>7</v>
      </c>
      <c r="B101" t="s">
        <v>22</v>
      </c>
      <c r="C101" t="s">
        <v>25</v>
      </c>
      <c r="D101" t="s">
        <v>10</v>
      </c>
      <c r="E101">
        <v>2</v>
      </c>
      <c r="F101">
        <v>11.35</v>
      </c>
      <c r="G101">
        <v>2.5</v>
      </c>
      <c r="H101" s="5">
        <f>G101/F101</f>
        <v>0.22026431718061676</v>
      </c>
      <c r="J101" s="16">
        <f>IF(A101="Male",0, 1)</f>
        <v>1</v>
      </c>
      <c r="K101" s="13">
        <f>IF(B101="No",0, 1)</f>
        <v>1</v>
      </c>
      <c r="L101" s="13">
        <f>IF(C101="Mon",1,IF(C101="Tues",2,IF(C101="Wed",3,IF(C101="Thur",4,IF(C101="Fri",5,IF(C101="Sat",6,7))))))</f>
        <v>5</v>
      </c>
      <c r="M101" s="13">
        <f>IF(D101="Lunch",0,1)</f>
        <v>1</v>
      </c>
      <c r="N101" s="13">
        <v>3</v>
      </c>
      <c r="O101" s="13">
        <v>16.29</v>
      </c>
      <c r="P101" s="13">
        <v>3.71</v>
      </c>
      <c r="Q101" s="15">
        <f>P101/O101</f>
        <v>0.22774708410067526</v>
      </c>
      <c r="R101" s="15">
        <f>AVERAGE(IF(A101="Female",GETPIVOTDATA("tip %",$W$26,"sex","Female"),GETPIVOTDATA("tip %",$W$26,"sex","Male")),IF(K101=0,GETPIVOTDATA("tip %",$AA$26,"smoker","No"),GETPIVOTDATA("tip %",$AA$26,"smoker","Yes")),IF(C101=$W$33,GETPIVOTDATA("tip %",$W$32,"day","Thur"),IF(C101=$W$34,GETPIVOTDATA("tip %",$W$32,"day","Fri"),IF(C101=$W$35,GETPIVOTDATA("tip %",$W$32,"day","Sat"),IF(C101=$W$36,GETPIVOTDATA("tip %",$W$32,"day","Sun"),GETPIVOTDATA("tip %",$W$32))))),IF(D101=$AE$27,GETPIVOTDATA("tip %",$AE$26,"time","Dinner"),GETPIVOTDATA("tip %",$AE$26,"time","Lunch")),IF(N101=$AA$33,GETPIVOTDATA("Average of tip %",$AA$32,"size",1),IF(N101=$AA$34,GETPIVOTDATA("Average of tip %",$AA$32,"size",2),IF(N101=$AA$35,GETPIVOTDATA("Average of tip %",$AA$32,"size",3),IF(N101=$AA$36,GETPIVOTDATA("Average of tip %",$AA$32,"size",4),IF(N101=$AA$37,GETPIVOTDATA("Average of tip %",$AA$32,"size",5),GETPIVOTDATA("Average of tip %",$AA$32,"size",6)))))))</f>
        <v>0.16225489064323545</v>
      </c>
      <c r="S101" s="14">
        <f t="shared" si="3"/>
        <v>2.8523745884479665</v>
      </c>
      <c r="T101" s="17">
        <f t="shared" si="4"/>
        <v>2.6431321685783051</v>
      </c>
      <c r="U101" s="12">
        <f t="shared" si="5"/>
        <v>2.7477533785131358</v>
      </c>
    </row>
    <row r="102" spans="1:21" x14ac:dyDescent="0.2">
      <c r="A102" t="s">
        <v>11</v>
      </c>
      <c r="B102" t="s">
        <v>8</v>
      </c>
      <c r="C102" t="s">
        <v>23</v>
      </c>
      <c r="D102" t="s">
        <v>24</v>
      </c>
      <c r="E102">
        <v>2</v>
      </c>
      <c r="F102">
        <v>14.26</v>
      </c>
      <c r="G102">
        <v>2.5</v>
      </c>
      <c r="H102" s="5">
        <f>G102/F102</f>
        <v>0.17531556802244039</v>
      </c>
      <c r="J102" s="16">
        <f>IF(A102="Male",0, 1)</f>
        <v>0</v>
      </c>
      <c r="K102" s="13">
        <f>IF(B102="No",0, 1)</f>
        <v>0</v>
      </c>
      <c r="L102" s="13">
        <f>IF(C102="Mon",1,IF(C102="Tues",2,IF(C102="Wed",3,IF(C102="Thur",4,IF(C102="Fri",5,IF(C102="Sat",6,7))))))</f>
        <v>4</v>
      </c>
      <c r="M102" s="13">
        <f>IF(D102="Lunch",0,1)</f>
        <v>0</v>
      </c>
      <c r="N102" s="13">
        <v>3</v>
      </c>
      <c r="O102" s="13">
        <v>16.309999999999999</v>
      </c>
      <c r="P102" s="13">
        <v>2</v>
      </c>
      <c r="Q102" s="15">
        <f>P102/O102</f>
        <v>0.12262415695892091</v>
      </c>
      <c r="R102" s="15">
        <f>AVERAGE(IF(A102="Female",GETPIVOTDATA("tip %",$W$26,"sex","Female"),GETPIVOTDATA("tip %",$W$26,"sex","Male")),IF(K102=0,GETPIVOTDATA("tip %",$AA$26,"smoker","No"),GETPIVOTDATA("tip %",$AA$26,"smoker","Yes")),IF(C102=$W$33,GETPIVOTDATA("tip %",$W$32,"day","Thur"),IF(C102=$W$34,GETPIVOTDATA("tip %",$W$32,"day","Fri"),IF(C102=$W$35,GETPIVOTDATA("tip %",$W$32,"day","Sat"),IF(C102=$W$36,GETPIVOTDATA("tip %",$W$32,"day","Sun"),GETPIVOTDATA("tip %",$W$32))))),IF(D102=$AE$27,GETPIVOTDATA("tip %",$AE$26,"time","Dinner"),GETPIVOTDATA("tip %",$AE$26,"time","Lunch")),IF(N102=$AA$33,GETPIVOTDATA("Average of tip %",$AA$32,"size",1),IF(N102=$AA$34,GETPIVOTDATA("Average of tip %",$AA$32,"size",2),IF(N102=$AA$35,GETPIVOTDATA("Average of tip %",$AA$32,"size",3),IF(N102=$AA$36,GETPIVOTDATA("Average of tip %",$AA$32,"size",4),IF(N102=$AA$37,GETPIVOTDATA("Average of tip %",$AA$32,"size",5),GETPIVOTDATA("Average of tip %",$AA$32,"size",6)))))))</f>
        <v>0.15890788520995663</v>
      </c>
      <c r="S102" s="14">
        <f t="shared" si="3"/>
        <v>2.8326639359071408</v>
      </c>
      <c r="T102" s="17">
        <f t="shared" si="4"/>
        <v>2.5917876077743927</v>
      </c>
      <c r="U102" s="12">
        <f t="shared" si="5"/>
        <v>2.7122257718407665</v>
      </c>
    </row>
    <row r="103" spans="1:21" x14ac:dyDescent="0.2">
      <c r="A103" t="s">
        <v>11</v>
      </c>
      <c r="B103" t="s">
        <v>8</v>
      </c>
      <c r="C103" t="s">
        <v>9</v>
      </c>
      <c r="D103" t="s">
        <v>10</v>
      </c>
      <c r="E103">
        <v>2</v>
      </c>
      <c r="F103">
        <v>14.07</v>
      </c>
      <c r="G103">
        <v>2.5</v>
      </c>
      <c r="H103" s="5">
        <f>G103/F103</f>
        <v>0.17768301350390903</v>
      </c>
      <c r="J103" s="16">
        <f>IF(A103="Male",0, 1)</f>
        <v>0</v>
      </c>
      <c r="K103" s="13">
        <f>IF(B103="No",0, 1)</f>
        <v>0</v>
      </c>
      <c r="L103" s="13">
        <f>IF(C103="Mon",1,IF(C103="Tues",2,IF(C103="Wed",3,IF(C103="Thur",4,IF(C103="Fri",5,IF(C103="Sat",6,7))))))</f>
        <v>7</v>
      </c>
      <c r="M103" s="13">
        <f>IF(D103="Lunch",0,1)</f>
        <v>1</v>
      </c>
      <c r="N103" s="13">
        <v>2</v>
      </c>
      <c r="O103" s="13">
        <v>16.32</v>
      </c>
      <c r="P103" s="13">
        <v>4.3</v>
      </c>
      <c r="Q103" s="15">
        <f>P103/O103</f>
        <v>0.26348039215686275</v>
      </c>
      <c r="R103" s="15">
        <f>AVERAGE(IF(A103="Female",GETPIVOTDATA("tip %",$W$26,"sex","Female"),GETPIVOTDATA("tip %",$W$26,"sex","Male")),IF(K103=0,GETPIVOTDATA("tip %",$AA$26,"smoker","No"),GETPIVOTDATA("tip %",$AA$26,"smoker","Yes")),IF(C103=$W$33,GETPIVOTDATA("tip %",$W$32,"day","Thur"),IF(C103=$W$34,GETPIVOTDATA("tip %",$W$32,"day","Fri"),IF(C103=$W$35,GETPIVOTDATA("tip %",$W$32,"day","Sat"),IF(C103=$W$36,GETPIVOTDATA("tip %",$W$32,"day","Sun"),GETPIVOTDATA("tip %",$W$32))))),IF(D103=$AE$27,GETPIVOTDATA("tip %",$AE$26,"time","Dinner"),GETPIVOTDATA("tip %",$AE$26,"time","Lunch")),IF(N103=$AA$33,GETPIVOTDATA("Average of tip %",$AA$32,"size",1),IF(N103=$AA$34,GETPIVOTDATA("Average of tip %",$AA$32,"size",2),IF(N103=$AA$35,GETPIVOTDATA("Average of tip %",$AA$32,"size",3),IF(N103=$AA$36,GETPIVOTDATA("Average of tip %",$AA$32,"size",4),IF(N103=$AA$37,GETPIVOTDATA("Average of tip %",$AA$32,"size",5),GETPIVOTDATA("Average of tip %",$AA$32,"size",6)))))))</f>
        <v>0.16182265520985073</v>
      </c>
      <c r="S103" s="14">
        <f t="shared" si="3"/>
        <v>3.0043163729662368</v>
      </c>
      <c r="T103" s="17">
        <f t="shared" si="4"/>
        <v>2.6409457330247639</v>
      </c>
      <c r="U103" s="12">
        <f t="shared" si="5"/>
        <v>2.8226310529955003</v>
      </c>
    </row>
    <row r="104" spans="1:21" x14ac:dyDescent="0.2">
      <c r="A104" t="s">
        <v>11</v>
      </c>
      <c r="B104" t="s">
        <v>8</v>
      </c>
      <c r="C104" t="s">
        <v>9</v>
      </c>
      <c r="D104" t="s">
        <v>10</v>
      </c>
      <c r="E104">
        <v>2</v>
      </c>
      <c r="F104">
        <v>12.66</v>
      </c>
      <c r="G104">
        <v>2.5</v>
      </c>
      <c r="H104" s="5">
        <f>G104/F104</f>
        <v>0.19747235387045814</v>
      </c>
      <c r="J104" s="16">
        <f>IF(A104="Male",0, 1)</f>
        <v>0</v>
      </c>
      <c r="K104" s="13">
        <f>IF(B104="No",0, 1)</f>
        <v>0</v>
      </c>
      <c r="L104" s="13">
        <f>IF(C104="Mon",1,IF(C104="Tues",2,IF(C104="Wed",3,IF(C104="Thur",4,IF(C104="Fri",5,IF(C104="Sat",6,7))))))</f>
        <v>7</v>
      </c>
      <c r="M104" s="13">
        <f>IF(D104="Lunch",0,1)</f>
        <v>1</v>
      </c>
      <c r="N104" s="13">
        <v>2</v>
      </c>
      <c r="O104" s="13">
        <v>16.399999999999999</v>
      </c>
      <c r="P104" s="13">
        <v>2.5</v>
      </c>
      <c r="Q104" s="15">
        <f>P104/O104</f>
        <v>0.15243902439024393</v>
      </c>
      <c r="R104" s="15">
        <f>AVERAGE(IF(A104="Female",GETPIVOTDATA("tip %",$W$26,"sex","Female"),GETPIVOTDATA("tip %",$W$26,"sex","Male")),IF(K104=0,GETPIVOTDATA("tip %",$AA$26,"smoker","No"),GETPIVOTDATA("tip %",$AA$26,"smoker","Yes")),IF(C104=$W$33,GETPIVOTDATA("tip %",$W$32,"day","Thur"),IF(C104=$W$34,GETPIVOTDATA("tip %",$W$32,"day","Fri"),IF(C104=$W$35,GETPIVOTDATA("tip %",$W$32,"day","Sat"),IF(C104=$W$36,GETPIVOTDATA("tip %",$W$32,"day","Sun"),GETPIVOTDATA("tip %",$W$32))))),IF(D104=$AE$27,GETPIVOTDATA("tip %",$AE$26,"time","Dinner"),GETPIVOTDATA("tip %",$AE$26,"time","Lunch")),IF(N104=$AA$33,GETPIVOTDATA("Average of tip %",$AA$32,"size",1),IF(N104=$AA$34,GETPIVOTDATA("Average of tip %",$AA$32,"size",2),IF(N104=$AA$35,GETPIVOTDATA("Average of tip %",$AA$32,"size",3),IF(N104=$AA$36,GETPIVOTDATA("Average of tip %",$AA$32,"size",4),IF(N104=$AA$37,GETPIVOTDATA("Average of tip %",$AA$32,"size",5),GETPIVOTDATA("Average of tip %",$AA$32,"size",6)))))))</f>
        <v>0.16182265520985073</v>
      </c>
      <c r="S104" s="14">
        <f t="shared" si="3"/>
        <v>3.0043163729662368</v>
      </c>
      <c r="T104" s="17">
        <f t="shared" si="4"/>
        <v>2.6538915454415517</v>
      </c>
      <c r="U104" s="12">
        <f t="shared" si="5"/>
        <v>2.829103959203894</v>
      </c>
    </row>
    <row r="105" spans="1:21" x14ac:dyDescent="0.2">
      <c r="A105" t="s">
        <v>7</v>
      </c>
      <c r="B105" t="s">
        <v>22</v>
      </c>
      <c r="C105" t="s">
        <v>23</v>
      </c>
      <c r="D105" t="s">
        <v>24</v>
      </c>
      <c r="E105">
        <v>2</v>
      </c>
      <c r="F105">
        <v>16.399999999999999</v>
      </c>
      <c r="G105">
        <v>2.5</v>
      </c>
      <c r="H105" s="5">
        <f>G105/F105</f>
        <v>0.15243902439024393</v>
      </c>
      <c r="J105" s="16">
        <f>IF(A105="Male",0, 1)</f>
        <v>1</v>
      </c>
      <c r="K105" s="13">
        <f>IF(B105="No",0, 1)</f>
        <v>1</v>
      </c>
      <c r="L105" s="13">
        <f>IF(C105="Mon",1,IF(C105="Tues",2,IF(C105="Wed",3,IF(C105="Thur",4,IF(C105="Fri",5,IF(C105="Sat",6,7))))))</f>
        <v>4</v>
      </c>
      <c r="M105" s="13">
        <f>IF(D105="Lunch",0,1)</f>
        <v>0</v>
      </c>
      <c r="N105" s="13">
        <v>2</v>
      </c>
      <c r="O105" s="13">
        <v>16.43</v>
      </c>
      <c r="P105" s="13">
        <v>2.2999999999999998</v>
      </c>
      <c r="Q105" s="15">
        <f>P105/O105</f>
        <v>0.13998782714546559</v>
      </c>
      <c r="R105" s="15">
        <f>AVERAGE(IF(A105="Female",GETPIVOTDATA("tip %",$W$26,"sex","Female"),GETPIVOTDATA("tip %",$W$26,"sex","Male")),IF(K105=0,GETPIVOTDATA("tip %",$AA$26,"smoker","No"),GETPIVOTDATA("tip %",$AA$26,"smoker","Yes")),IF(C105=$W$33,GETPIVOTDATA("tip %",$W$32,"day","Thur"),IF(C105=$W$34,GETPIVOTDATA("tip %",$W$32,"day","Fri"),IF(C105=$W$35,GETPIVOTDATA("tip %",$W$32,"day","Sat"),IF(C105=$W$36,GETPIVOTDATA("tip %",$W$32,"day","Sun"),GETPIVOTDATA("tip %",$W$32))))),IF(D105=$AE$27,GETPIVOTDATA("tip %",$AE$26,"time","Dinner"),GETPIVOTDATA("tip %",$AE$26,"time","Lunch")),IF(N105=$AA$33,GETPIVOTDATA("Average of tip %",$AA$32,"size",1),IF(N105=$AA$34,GETPIVOTDATA("Average of tip %",$AA$32,"size",2),IF(N105=$AA$35,GETPIVOTDATA("Average of tip %",$AA$32,"size",3),IF(N105=$AA$36,GETPIVOTDATA("Average of tip %",$AA$32,"size",4),IF(N105=$AA$37,GETPIVOTDATA("Average of tip %",$AA$32,"size",5),GETPIVOTDATA("Average of tip %",$AA$32,"size",6)))))))</f>
        <v>0.16416190696595673</v>
      </c>
      <c r="S105" s="14">
        <f t="shared" si="3"/>
        <v>2.784801098757292</v>
      </c>
      <c r="T105" s="17">
        <f t="shared" si="4"/>
        <v>2.6971801314506689</v>
      </c>
      <c r="U105" s="12">
        <f t="shared" si="5"/>
        <v>2.7409906151039802</v>
      </c>
    </row>
    <row r="106" spans="1:21" x14ac:dyDescent="0.2">
      <c r="A106" t="s">
        <v>7</v>
      </c>
      <c r="B106" t="s">
        <v>22</v>
      </c>
      <c r="C106" t="s">
        <v>21</v>
      </c>
      <c r="D106" t="s">
        <v>10</v>
      </c>
      <c r="E106">
        <v>2</v>
      </c>
      <c r="F106">
        <v>13.27</v>
      </c>
      <c r="G106">
        <v>2.5</v>
      </c>
      <c r="H106" s="5">
        <f>G106/F106</f>
        <v>0.18839487565938207</v>
      </c>
      <c r="J106" s="16">
        <f>IF(A106="Male",0, 1)</f>
        <v>1</v>
      </c>
      <c r="K106" s="13">
        <f>IF(B106="No",0, 1)</f>
        <v>1</v>
      </c>
      <c r="L106" s="13">
        <f>IF(C106="Mon",1,IF(C106="Tues",2,IF(C106="Wed",3,IF(C106="Thur",4,IF(C106="Fri",5,IF(C106="Sat",6,7))))))</f>
        <v>6</v>
      </c>
      <c r="M106" s="13">
        <f>IF(D106="Lunch",0,1)</f>
        <v>1</v>
      </c>
      <c r="N106" s="13">
        <v>2</v>
      </c>
      <c r="O106" s="13">
        <v>16.45</v>
      </c>
      <c r="P106" s="13">
        <v>2.4700000000000002</v>
      </c>
      <c r="Q106" s="15">
        <f>P106/O106</f>
        <v>0.1501519756838906</v>
      </c>
      <c r="R106" s="15">
        <f>AVERAGE(IF(A106="Female",GETPIVOTDATA("tip %",$W$26,"sex","Female"),GETPIVOTDATA("tip %",$W$26,"sex","Male")),IF(K106=0,GETPIVOTDATA("tip %",$AA$26,"smoker","No"),GETPIVOTDATA("tip %",$AA$26,"smoker","Yes")),IF(C106=$W$33,GETPIVOTDATA("tip %",$W$32,"day","Thur"),IF(C106=$W$34,GETPIVOTDATA("tip %",$W$32,"day","Fri"),IF(C106=$W$35,GETPIVOTDATA("tip %",$W$32,"day","Sat"),IF(C106=$W$36,GETPIVOTDATA("tip %",$W$32,"day","Sun"),GETPIVOTDATA("tip %",$W$32))))),IF(D106=$AE$27,GETPIVOTDATA("tip %",$AE$26,"time","Dinner"),GETPIVOTDATA("tip %",$AE$26,"time","Lunch")),IF(N106=$AA$33,GETPIVOTDATA("Average of tip %",$AA$32,"size",1),IF(N106=$AA$34,GETPIVOTDATA("Average of tip %",$AA$32,"size",2),IF(N106=$AA$35,GETPIVOTDATA("Average of tip %",$AA$32,"size",3),IF(N106=$AA$36,GETPIVOTDATA("Average of tip %",$AA$32,"size",4),IF(N106=$AA$37,GETPIVOTDATA("Average of tip %",$AA$32,"size",5),GETPIVOTDATA("Average of tip %",$AA$32,"size",6)))))))</f>
        <v>0.16161509557363743</v>
      </c>
      <c r="S106" s="14">
        <f t="shared" si="3"/>
        <v>2.9040479096820868</v>
      </c>
      <c r="T106" s="17">
        <f t="shared" si="4"/>
        <v>2.6585683221863357</v>
      </c>
      <c r="U106" s="12">
        <f t="shared" si="5"/>
        <v>2.7813081159342112</v>
      </c>
    </row>
    <row r="107" spans="1:21" x14ac:dyDescent="0.2">
      <c r="A107" t="s">
        <v>7</v>
      </c>
      <c r="B107" t="s">
        <v>22</v>
      </c>
      <c r="C107" t="s">
        <v>25</v>
      </c>
      <c r="D107" t="s">
        <v>24</v>
      </c>
      <c r="E107">
        <v>2</v>
      </c>
      <c r="F107">
        <v>16.27</v>
      </c>
      <c r="G107">
        <v>2.5</v>
      </c>
      <c r="H107" s="5">
        <f>G107/F107</f>
        <v>0.15365703749231716</v>
      </c>
      <c r="J107" s="16">
        <f>IF(A107="Male",0, 1)</f>
        <v>1</v>
      </c>
      <c r="K107" s="13">
        <f>IF(B107="No",0, 1)</f>
        <v>1</v>
      </c>
      <c r="L107" s="13">
        <f>IF(C107="Mon",1,IF(C107="Tues",2,IF(C107="Wed",3,IF(C107="Thur",4,IF(C107="Fri",5,IF(C107="Sat",6,7))))))</f>
        <v>5</v>
      </c>
      <c r="M107" s="13">
        <f>IF(D107="Lunch",0,1)</f>
        <v>0</v>
      </c>
      <c r="N107" s="13">
        <v>3</v>
      </c>
      <c r="O107" s="13">
        <v>16.47</v>
      </c>
      <c r="P107" s="13">
        <v>3.23</v>
      </c>
      <c r="Q107" s="15">
        <f>P107/O107</f>
        <v>0.19611414693381907</v>
      </c>
      <c r="R107" s="15">
        <f>AVERAGE(IF(A107="Female",GETPIVOTDATA("tip %",$W$26,"sex","Female"),GETPIVOTDATA("tip %",$W$26,"sex","Male")),IF(K107=0,GETPIVOTDATA("tip %",$AA$26,"smoker","No"),GETPIVOTDATA("tip %",$AA$26,"smoker","Yes")),IF(C107=$W$33,GETPIVOTDATA("tip %",$W$32,"day","Thur"),IF(C107=$W$34,GETPIVOTDATA("tip %",$W$32,"day","Fri"),IF(C107=$W$35,GETPIVOTDATA("tip %",$W$32,"day","Sat"),IF(C107=$W$36,GETPIVOTDATA("tip %",$W$32,"day","Sun"),GETPIVOTDATA("tip %",$W$32))))),IF(D107=$AE$27,GETPIVOTDATA("tip %",$AE$26,"time","Dinner"),GETPIVOTDATA("tip %",$AE$26,"time","Lunch")),IF(N107=$AA$33,GETPIVOTDATA("Average of tip %",$AA$32,"size",1),IF(N107=$AA$34,GETPIVOTDATA("Average of tip %",$AA$32,"size",2),IF(N107=$AA$35,GETPIVOTDATA("Average of tip %",$AA$32,"size",3),IF(N107=$AA$36,GETPIVOTDATA("Average of tip %",$AA$32,"size",4),IF(N107=$AA$37,GETPIVOTDATA("Average of tip %",$AA$32,"size",5),GETPIVOTDATA("Average of tip %",$AA$32,"size",6)))))))</f>
        <v>0.16317691851978097</v>
      </c>
      <c r="S107" s="14">
        <f t="shared" si="3"/>
        <v>2.7774581445976994</v>
      </c>
      <c r="T107" s="17">
        <f t="shared" si="4"/>
        <v>2.6875238480207924</v>
      </c>
      <c r="U107" s="12">
        <f t="shared" si="5"/>
        <v>2.7324909963092461</v>
      </c>
    </row>
    <row r="108" spans="1:21" x14ac:dyDescent="0.2">
      <c r="A108" t="s">
        <v>7</v>
      </c>
      <c r="B108" t="s">
        <v>22</v>
      </c>
      <c r="C108" t="s">
        <v>21</v>
      </c>
      <c r="D108" t="s">
        <v>10</v>
      </c>
      <c r="E108">
        <v>3</v>
      </c>
      <c r="F108">
        <v>44.3</v>
      </c>
      <c r="G108">
        <v>2.5</v>
      </c>
      <c r="H108" s="5">
        <f>G108/F108</f>
        <v>5.6433408577878111E-2</v>
      </c>
      <c r="J108" s="16">
        <f>IF(A108="Male",0, 1)</f>
        <v>1</v>
      </c>
      <c r="K108" s="13">
        <f>IF(B108="No",0, 1)</f>
        <v>1</v>
      </c>
      <c r="L108" s="13">
        <f>IF(C108="Mon",1,IF(C108="Tues",2,IF(C108="Wed",3,IF(C108="Thur",4,IF(C108="Fri",5,IF(C108="Sat",6,7))))))</f>
        <v>6</v>
      </c>
      <c r="M108" s="13">
        <f>IF(D108="Lunch",0,1)</f>
        <v>1</v>
      </c>
      <c r="N108" s="13">
        <v>4</v>
      </c>
      <c r="O108" s="13">
        <v>16.489999999999998</v>
      </c>
      <c r="P108" s="13">
        <v>2</v>
      </c>
      <c r="Q108" s="15">
        <f>P108/O108</f>
        <v>0.12128562765312312</v>
      </c>
      <c r="R108" s="15">
        <f>AVERAGE(IF(A108="Female",GETPIVOTDATA("tip %",$W$26,"sex","Female"),GETPIVOTDATA("tip %",$W$26,"sex","Male")),IF(K108=0,GETPIVOTDATA("tip %",$AA$26,"smoker","No"),GETPIVOTDATA("tip %",$AA$26,"smoker","Yes")),IF(C108=$W$33,GETPIVOTDATA("tip %",$W$32,"day","Thur"),IF(C108=$W$34,GETPIVOTDATA("tip %",$W$32,"day","Fri"),IF(C108=$W$35,GETPIVOTDATA("tip %",$W$32,"day","Sat"),IF(C108=$W$36,GETPIVOTDATA("tip %",$W$32,"day","Sun"),GETPIVOTDATA("tip %",$W$32))))),IF(D108=$AE$27,GETPIVOTDATA("tip %",$AE$26,"time","Dinner"),GETPIVOTDATA("tip %",$AE$26,"time","Lunch")),IF(N108=$AA$33,GETPIVOTDATA("Average of tip %",$AA$32,"size",1),IF(N108=$AA$34,GETPIVOTDATA("Average of tip %",$AA$32,"size",2),IF(N108=$AA$35,GETPIVOTDATA("Average of tip %",$AA$32,"size",3),IF(N108=$AA$36,GETPIVOTDATA("Average of tip %",$AA$32,"size",4),IF(N108=$AA$37,GETPIVOTDATA("Average of tip %",$AA$32,"size",5),GETPIVOTDATA("Average of tip %",$AA$32,"size",6)))))))</f>
        <v>0.15766105850537432</v>
      </c>
      <c r="S108" s="14">
        <f t="shared" si="3"/>
        <v>3.0662179501679163</v>
      </c>
      <c r="T108" s="17">
        <f t="shared" si="4"/>
        <v>2.5998308547536224</v>
      </c>
      <c r="U108" s="12">
        <f t="shared" si="5"/>
        <v>2.8330244024607696</v>
      </c>
    </row>
    <row r="109" spans="1:21" x14ac:dyDescent="0.2">
      <c r="A109" t="s">
        <v>11</v>
      </c>
      <c r="B109" t="s">
        <v>8</v>
      </c>
      <c r="C109" t="s">
        <v>21</v>
      </c>
      <c r="D109" t="s">
        <v>10</v>
      </c>
      <c r="E109">
        <v>4</v>
      </c>
      <c r="F109">
        <v>18.350000000000001</v>
      </c>
      <c r="G109">
        <v>2.5</v>
      </c>
      <c r="H109" s="5">
        <f>G109/F109</f>
        <v>0.13623978201634876</v>
      </c>
      <c r="J109" s="16">
        <f>IF(A109="Male",0, 1)</f>
        <v>0</v>
      </c>
      <c r="K109" s="13">
        <f>IF(B109="No",0, 1)</f>
        <v>0</v>
      </c>
      <c r="L109" s="13">
        <f>IF(C109="Mon",1,IF(C109="Tues",2,IF(C109="Wed",3,IF(C109="Thur",4,IF(C109="Fri",5,IF(C109="Sat",6,7))))))</f>
        <v>6</v>
      </c>
      <c r="M109" s="13">
        <f>IF(D109="Lunch",0,1)</f>
        <v>1</v>
      </c>
      <c r="N109" s="13">
        <v>2</v>
      </c>
      <c r="O109" s="13">
        <v>16.579999999999998</v>
      </c>
      <c r="P109" s="13">
        <v>4</v>
      </c>
      <c r="Q109" s="15">
        <f>P109/O109</f>
        <v>0.24125452352231608</v>
      </c>
      <c r="R109" s="15">
        <f>AVERAGE(IF(A109="Female",GETPIVOTDATA("tip %",$W$26,"sex","Female"),GETPIVOTDATA("tip %",$W$26,"sex","Male")),IF(K109=0,GETPIVOTDATA("tip %",$AA$26,"smoker","No"),GETPIVOTDATA("tip %",$AA$26,"smoker","Yes")),IF(C109=$W$33,GETPIVOTDATA("tip %",$W$32,"day","Thur"),IF(C109=$W$34,GETPIVOTDATA("tip %",$W$32,"day","Fri"),IF(C109=$W$35,GETPIVOTDATA("tip %",$W$32,"day","Sat"),IF(C109=$W$36,GETPIVOTDATA("tip %",$W$32,"day","Sun"),GETPIVOTDATA("tip %",$W$32))))),IF(D109=$AE$27,GETPIVOTDATA("tip %",$AE$26,"time","Dinner"),GETPIVOTDATA("tip %",$AE$26,"time","Lunch")),IF(N109=$AA$33,GETPIVOTDATA("Average of tip %",$AA$32,"size",1),IF(N109=$AA$34,GETPIVOTDATA("Average of tip %",$AA$32,"size",2),IF(N109=$AA$35,GETPIVOTDATA("Average of tip %",$AA$32,"size",3),IF(N109=$AA$36,GETPIVOTDATA("Average of tip %",$AA$32,"size",4),IF(N109=$AA$37,GETPIVOTDATA("Average of tip %",$AA$32,"size",5),GETPIVOTDATA("Average of tip %",$AA$32,"size",6)))))))</f>
        <v>0.15907354121717945</v>
      </c>
      <c r="S109" s="14">
        <f t="shared" si="3"/>
        <v>3.2625302894514783</v>
      </c>
      <c r="T109" s="17">
        <f t="shared" si="4"/>
        <v>2.6374393133808351</v>
      </c>
      <c r="U109" s="12">
        <f t="shared" si="5"/>
        <v>2.9499848014161567</v>
      </c>
    </row>
    <row r="110" spans="1:21" x14ac:dyDescent="0.2">
      <c r="A110" t="s">
        <v>7</v>
      </c>
      <c r="B110" t="s">
        <v>8</v>
      </c>
      <c r="C110" t="s">
        <v>23</v>
      </c>
      <c r="D110" t="s">
        <v>24</v>
      </c>
      <c r="E110">
        <v>2</v>
      </c>
      <c r="F110">
        <v>12.48</v>
      </c>
      <c r="G110">
        <v>2.52</v>
      </c>
      <c r="H110" s="5">
        <f>G110/F110</f>
        <v>0.20192307692307693</v>
      </c>
      <c r="J110" s="16">
        <f>IF(A110="Male",0, 1)</f>
        <v>1</v>
      </c>
      <c r="K110" s="13">
        <f>IF(B110="No",0, 1)</f>
        <v>0</v>
      </c>
      <c r="L110" s="13">
        <f>IF(C110="Mon",1,IF(C110="Tues",2,IF(C110="Wed",3,IF(C110="Thur",4,IF(C110="Fri",5,IF(C110="Sat",6,7))))))</f>
        <v>4</v>
      </c>
      <c r="M110" s="13">
        <f>IF(D110="Lunch",0,1)</f>
        <v>0</v>
      </c>
      <c r="N110" s="13">
        <v>2</v>
      </c>
      <c r="O110" s="13">
        <v>16.66</v>
      </c>
      <c r="P110" s="13">
        <v>3.4</v>
      </c>
      <c r="Q110" s="15">
        <f>P110/O110</f>
        <v>0.20408163265306123</v>
      </c>
      <c r="R110" s="15">
        <f>AVERAGE(IF(A110="Female",GETPIVOTDATA("tip %",$W$26,"sex","Female"),GETPIVOTDATA("tip %",$W$26,"sex","Male")),IF(K110=0,GETPIVOTDATA("tip %",$AA$26,"smoker","No"),GETPIVOTDATA("tip %",$AA$26,"smoker","Yes")),IF(C110=$W$33,GETPIVOTDATA("tip %",$W$32,"day","Thur"),IF(C110=$W$34,GETPIVOTDATA("tip %",$W$32,"day","Fri"),IF(C110=$W$35,GETPIVOTDATA("tip %",$W$32,"day","Sat"),IF(C110=$W$36,GETPIVOTDATA("tip %",$W$32,"day","Sun"),GETPIVOTDATA("tip %",$W$32))))),IF(D110=$AE$27,GETPIVOTDATA("tip %",$AE$26,"time","Dinner"),GETPIVOTDATA("tip %",$AE$26,"time","Lunch")),IF(N110=$AA$33,GETPIVOTDATA("Average of tip %",$AA$32,"size",1),IF(N110=$AA$34,GETPIVOTDATA("Average of tip %",$AA$32,"size",2),IF(N110=$AA$35,GETPIVOTDATA("Average of tip %",$AA$32,"size",3),IF(N110=$AA$36,GETPIVOTDATA("Average of tip %",$AA$32,"size",4),IF(N110=$AA$37,GETPIVOTDATA("Average of tip %",$AA$32,"size",5),GETPIVOTDATA("Average of tip %",$AA$32,"size",6)))))))</f>
        <v>0.16338839047442422</v>
      </c>
      <c r="S110" s="14">
        <f t="shared" si="3"/>
        <v>2.7814300242005734</v>
      </c>
      <c r="T110" s="17">
        <f t="shared" si="4"/>
        <v>2.7220505853039074</v>
      </c>
      <c r="U110" s="12">
        <f t="shared" si="5"/>
        <v>2.7517403047522402</v>
      </c>
    </row>
    <row r="111" spans="1:21" x14ac:dyDescent="0.2">
      <c r="A111" t="s">
        <v>11</v>
      </c>
      <c r="B111" t="s">
        <v>8</v>
      </c>
      <c r="C111" t="s">
        <v>9</v>
      </c>
      <c r="D111" t="s">
        <v>10</v>
      </c>
      <c r="E111">
        <v>2</v>
      </c>
      <c r="F111">
        <v>17.46</v>
      </c>
      <c r="G111">
        <v>2.54</v>
      </c>
      <c r="H111" s="5">
        <f>G111/F111</f>
        <v>0.14547537227949597</v>
      </c>
      <c r="J111" s="16">
        <f>IF(A111="Male",0, 1)</f>
        <v>0</v>
      </c>
      <c r="K111" s="13">
        <f>IF(B111="No",0, 1)</f>
        <v>0</v>
      </c>
      <c r="L111" s="13">
        <f>IF(C111="Mon",1,IF(C111="Tues",2,IF(C111="Wed",3,IF(C111="Thur",4,IF(C111="Fri",5,IF(C111="Sat",6,7))))))</f>
        <v>7</v>
      </c>
      <c r="M111" s="13">
        <f>IF(D111="Lunch",0,1)</f>
        <v>1</v>
      </c>
      <c r="N111" s="13">
        <v>2</v>
      </c>
      <c r="O111" s="13">
        <v>16.82</v>
      </c>
      <c r="P111" s="13">
        <v>4</v>
      </c>
      <c r="Q111" s="15">
        <f>P111/O111</f>
        <v>0.23781212841854935</v>
      </c>
      <c r="R111" s="15">
        <f>AVERAGE(IF(A111="Female",GETPIVOTDATA("tip %",$W$26,"sex","Female"),GETPIVOTDATA("tip %",$W$26,"sex","Male")),IF(K111=0,GETPIVOTDATA("tip %",$AA$26,"smoker","No"),GETPIVOTDATA("tip %",$AA$26,"smoker","Yes")),IF(C111=$W$33,GETPIVOTDATA("tip %",$W$32,"day","Thur"),IF(C111=$W$34,GETPIVOTDATA("tip %",$W$32,"day","Fri"),IF(C111=$W$35,GETPIVOTDATA("tip %",$W$32,"day","Sat"),IF(C111=$W$36,GETPIVOTDATA("tip %",$W$32,"day","Sun"),GETPIVOTDATA("tip %",$W$32))))),IF(D111=$AE$27,GETPIVOTDATA("tip %",$AE$26,"time","Dinner"),GETPIVOTDATA("tip %",$AE$26,"time","Lunch")),IF(N111=$AA$33,GETPIVOTDATA("Average of tip %",$AA$32,"size",1),IF(N111=$AA$34,GETPIVOTDATA("Average of tip %",$AA$32,"size",2),IF(N111=$AA$35,GETPIVOTDATA("Average of tip %",$AA$32,"size",3),IF(N111=$AA$36,GETPIVOTDATA("Average of tip %",$AA$32,"size",4),IF(N111=$AA$37,GETPIVOTDATA("Average of tip %",$AA$32,"size",5),GETPIVOTDATA("Average of tip %",$AA$32,"size",6)))))))</f>
        <v>0.16182265520985073</v>
      </c>
      <c r="S111" s="14">
        <f t="shared" si="3"/>
        <v>3.0043163729662368</v>
      </c>
      <c r="T111" s="17">
        <f t="shared" si="4"/>
        <v>2.7218570606296892</v>
      </c>
      <c r="U111" s="12">
        <f t="shared" si="5"/>
        <v>2.8630867167979632</v>
      </c>
    </row>
    <row r="112" spans="1:21" x14ac:dyDescent="0.2">
      <c r="A112" t="s">
        <v>11</v>
      </c>
      <c r="B112" t="s">
        <v>8</v>
      </c>
      <c r="C112" t="s">
        <v>9</v>
      </c>
      <c r="D112" t="s">
        <v>10</v>
      </c>
      <c r="E112">
        <v>2</v>
      </c>
      <c r="F112">
        <v>23.95</v>
      </c>
      <c r="G112">
        <v>2.5499999999999998</v>
      </c>
      <c r="H112" s="5">
        <f>G112/F112</f>
        <v>0.10647181628392484</v>
      </c>
      <c r="J112" s="16">
        <f>IF(A112="Male",0, 1)</f>
        <v>0</v>
      </c>
      <c r="K112" s="13">
        <f>IF(B112="No",0, 1)</f>
        <v>0</v>
      </c>
      <c r="L112" s="13">
        <f>IF(C112="Mon",1,IF(C112="Tues",2,IF(C112="Wed",3,IF(C112="Thur",4,IF(C112="Fri",5,IF(C112="Sat",6,7))))))</f>
        <v>7</v>
      </c>
      <c r="M112" s="13">
        <f>IF(D112="Lunch",0,1)</f>
        <v>1</v>
      </c>
      <c r="N112" s="13">
        <v>3</v>
      </c>
      <c r="O112" s="13">
        <v>16.93</v>
      </c>
      <c r="P112" s="13">
        <v>3.07</v>
      </c>
      <c r="Q112" s="15">
        <f>P112/O112</f>
        <v>0.1813349084465446</v>
      </c>
      <c r="R112" s="15">
        <f>AVERAGE(IF(A112="Female",GETPIVOTDATA("tip %",$W$26,"sex","Female"),GETPIVOTDATA("tip %",$W$26,"sex","Male")),IF(K112=0,GETPIVOTDATA("tip %",$AA$26,"smoker","No"),GETPIVOTDATA("tip %",$AA$26,"smoker","Yes")),IF(C112=$W$33,GETPIVOTDATA("tip %",$W$32,"day","Thur"),IF(C112=$W$34,GETPIVOTDATA("tip %",$W$32,"day","Fri"),IF(C112=$W$35,GETPIVOTDATA("tip %",$W$32,"day","Sat"),IF(C112=$W$36,GETPIVOTDATA("tip %",$W$32,"day","Sun"),GETPIVOTDATA("tip %",$W$32))))),IF(D112=$AE$27,GETPIVOTDATA("tip %",$AE$26,"time","Dinner"),GETPIVOTDATA("tip %",$AE$26,"time","Lunch")),IF(N112=$AA$33,GETPIVOTDATA("Average of tip %",$AA$32,"size",1),IF(N112=$AA$34,GETPIVOTDATA("Average of tip %",$AA$32,"size",2),IF(N112=$AA$35,GETPIVOTDATA("Average of tip %",$AA$32,"size",3),IF(N112=$AA$36,GETPIVOTDATA("Average of tip %",$AA$32,"size",4),IF(N112=$AA$37,GETPIVOTDATA("Average of tip %",$AA$32,"size",5),GETPIVOTDATA("Average of tip %",$AA$32,"size",6)))))))</f>
        <v>0.15911018781030864</v>
      </c>
      <c r="S112" s="14">
        <f t="shared" si="3"/>
        <v>3.0043163729662368</v>
      </c>
      <c r="T112" s="17">
        <f t="shared" si="4"/>
        <v>2.6937354796285251</v>
      </c>
      <c r="U112" s="12">
        <f t="shared" si="5"/>
        <v>2.8490259262973812</v>
      </c>
    </row>
    <row r="113" spans="1:21" x14ac:dyDescent="0.2">
      <c r="A113" t="s">
        <v>11</v>
      </c>
      <c r="B113" t="s">
        <v>22</v>
      </c>
      <c r="C113" t="s">
        <v>23</v>
      </c>
      <c r="D113" t="s">
        <v>24</v>
      </c>
      <c r="E113">
        <v>2</v>
      </c>
      <c r="F113">
        <v>28.44</v>
      </c>
      <c r="G113">
        <v>2.56</v>
      </c>
      <c r="H113" s="5">
        <f>G113/F113</f>
        <v>9.0014064697609003E-2</v>
      </c>
      <c r="J113" s="16">
        <f>IF(A113="Male",0, 1)</f>
        <v>0</v>
      </c>
      <c r="K113" s="13">
        <f>IF(B113="No",0, 1)</f>
        <v>1</v>
      </c>
      <c r="L113" s="13">
        <f>IF(C113="Mon",1,IF(C113="Tues",2,IF(C113="Wed",3,IF(C113="Thur",4,IF(C113="Fri",5,IF(C113="Sat",6,7))))))</f>
        <v>4</v>
      </c>
      <c r="M113" s="13">
        <f>IF(D113="Lunch",0,1)</f>
        <v>0</v>
      </c>
      <c r="N113" s="13">
        <v>3</v>
      </c>
      <c r="O113" s="13">
        <v>16.97</v>
      </c>
      <c r="P113" s="13">
        <v>3.5</v>
      </c>
      <c r="Q113" s="15">
        <f>P113/O113</f>
        <v>0.20624631703005306</v>
      </c>
      <c r="R113" s="15">
        <f>AVERAGE(IF(A113="Female",GETPIVOTDATA("tip %",$W$26,"sex","Female"),GETPIVOTDATA("tip %",$W$26,"sex","Male")),IF(K113=0,GETPIVOTDATA("tip %",$AA$26,"smoker","No"),GETPIVOTDATA("tip %",$AA$26,"smoker","Yes")),IF(C113=$W$33,GETPIVOTDATA("tip %",$W$32,"day","Thur"),IF(C113=$W$34,GETPIVOTDATA("tip %",$W$32,"day","Fri"),IF(C113=$W$35,GETPIVOTDATA("tip %",$W$32,"day","Sat"),IF(C113=$W$36,GETPIVOTDATA("tip %",$W$32,"day","Sun"),GETPIVOTDATA("tip %",$W$32))))),IF(D113=$AE$27,GETPIVOTDATA("tip %",$AE$26,"time","Dinner"),GETPIVOTDATA("tip %",$AE$26,"time","Lunch")),IF(N113=$AA$33,GETPIVOTDATA("Average of tip %",$AA$32,"size",1),IF(N113=$AA$34,GETPIVOTDATA("Average of tip %",$AA$32,"size",2),IF(N113=$AA$35,GETPIVOTDATA("Average of tip %",$AA$32,"size",3),IF(N113=$AA$36,GETPIVOTDATA("Average of tip %",$AA$32,"size",4),IF(N113=$AA$37,GETPIVOTDATA("Average of tip %",$AA$32,"size",5),GETPIVOTDATA("Average of tip %",$AA$32,"size",6)))))))</f>
        <v>0.1596814017014892</v>
      </c>
      <c r="S113" s="14">
        <f t="shared" si="3"/>
        <v>2.836035010463859</v>
      </c>
      <c r="T113" s="17">
        <f t="shared" si="4"/>
        <v>2.7097933868742716</v>
      </c>
      <c r="U113" s="12">
        <f t="shared" si="5"/>
        <v>2.7729141986690653</v>
      </c>
    </row>
    <row r="114" spans="1:21" x14ac:dyDescent="0.2">
      <c r="A114" t="s">
        <v>7</v>
      </c>
      <c r="B114" t="s">
        <v>8</v>
      </c>
      <c r="C114" t="s">
        <v>9</v>
      </c>
      <c r="D114" t="s">
        <v>10</v>
      </c>
      <c r="E114">
        <v>2</v>
      </c>
      <c r="F114">
        <v>10.29</v>
      </c>
      <c r="G114">
        <v>2.6</v>
      </c>
      <c r="H114" s="5">
        <f>G114/F114</f>
        <v>0.25267249757045679</v>
      </c>
      <c r="J114" s="16">
        <f>IF(A114="Male",0, 1)</f>
        <v>1</v>
      </c>
      <c r="K114" s="13">
        <f>IF(B114="No",0, 1)</f>
        <v>0</v>
      </c>
      <c r="L114" s="13">
        <f>IF(C114="Mon",1,IF(C114="Tues",2,IF(C114="Wed",3,IF(C114="Thur",4,IF(C114="Fri",5,IF(C114="Sat",6,7))))))</f>
        <v>7</v>
      </c>
      <c r="M114" s="13">
        <f>IF(D114="Lunch",0,1)</f>
        <v>1</v>
      </c>
      <c r="N114" s="13">
        <v>2</v>
      </c>
      <c r="O114" s="13">
        <v>16.989999999999998</v>
      </c>
      <c r="P114" s="13">
        <v>1.01</v>
      </c>
      <c r="Q114" s="15">
        <f>P114/O114</f>
        <v>5.9446733372572107E-2</v>
      </c>
      <c r="R114" s="15">
        <f>AVERAGE(IF(A114="Female",GETPIVOTDATA("tip %",$W$26,"sex","Female"),GETPIVOTDATA("tip %",$W$26,"sex","Male")),IF(K114=0,GETPIVOTDATA("tip %",$AA$26,"smoker","No"),GETPIVOTDATA("tip %",$AA$26,"smoker","Yes")),IF(C114=$W$33,GETPIVOTDATA("tip %",$W$32,"day","Thur"),IF(C114=$W$34,GETPIVOTDATA("tip %",$W$32,"day","Fri"),IF(C114=$W$35,GETPIVOTDATA("tip %",$W$32,"day","Sat"),IF(C114=$W$36,GETPIVOTDATA("tip %",$W$32,"day","Sun"),GETPIVOTDATA("tip %",$W$32))))),IF(D114=$AE$27,GETPIVOTDATA("tip %",$AE$26,"time","Dinner"),GETPIVOTDATA("tip %",$AE$26,"time","Lunch")),IF(N114=$AA$33,GETPIVOTDATA("Average of tip %",$AA$32,"size",1),IF(N114=$AA$34,GETPIVOTDATA("Average of tip %",$AA$32,"size",2),IF(N114=$AA$35,GETPIVOTDATA("Average of tip %",$AA$32,"size",3),IF(N114=$AA$36,GETPIVOTDATA("Average of tip %",$AA$32,"size",4),IF(N114=$AA$37,GETPIVOTDATA("Average of tip %",$AA$32,"size",5),GETPIVOTDATA("Average of tip %",$AA$32,"size",6)))))))</f>
        <v>0.16359069307477619</v>
      </c>
      <c r="S114" s="14">
        <f t="shared" si="3"/>
        <v>2.9530824612596698</v>
      </c>
      <c r="T114" s="17">
        <f t="shared" si="4"/>
        <v>2.7794058753404474</v>
      </c>
      <c r="U114" s="12">
        <f t="shared" si="5"/>
        <v>2.8662441683000583</v>
      </c>
    </row>
    <row r="115" spans="1:21" x14ac:dyDescent="0.2">
      <c r="A115" t="s">
        <v>7</v>
      </c>
      <c r="B115" t="s">
        <v>8</v>
      </c>
      <c r="C115" t="s">
        <v>9</v>
      </c>
      <c r="D115" t="s">
        <v>10</v>
      </c>
      <c r="E115">
        <v>2</v>
      </c>
      <c r="F115">
        <v>13.39</v>
      </c>
      <c r="G115">
        <v>2.61</v>
      </c>
      <c r="H115" s="5">
        <f>G115/F115</f>
        <v>0.19492158327109782</v>
      </c>
      <c r="J115" s="16">
        <f>IF(A115="Male",0, 1)</f>
        <v>1</v>
      </c>
      <c r="K115" s="13">
        <f>IF(B115="No",0, 1)</f>
        <v>0</v>
      </c>
      <c r="L115" s="13">
        <f>IF(C115="Mon",1,IF(C115="Tues",2,IF(C115="Wed",3,IF(C115="Thur",4,IF(C115="Fri",5,IF(C115="Sat",6,7))))))</f>
        <v>7</v>
      </c>
      <c r="M115" s="13">
        <f>IF(D115="Lunch",0,1)</f>
        <v>1</v>
      </c>
      <c r="N115" s="13">
        <v>3</v>
      </c>
      <c r="O115" s="13">
        <v>17.07</v>
      </c>
      <c r="P115" s="13">
        <v>3</v>
      </c>
      <c r="Q115" s="15">
        <f>P115/O115</f>
        <v>0.1757469244288225</v>
      </c>
      <c r="R115" s="15">
        <f>AVERAGE(IF(A115="Female",GETPIVOTDATA("tip %",$W$26,"sex","Female"),GETPIVOTDATA("tip %",$W$26,"sex","Male")),IF(K115=0,GETPIVOTDATA("tip %",$AA$26,"smoker","No"),GETPIVOTDATA("tip %",$AA$26,"smoker","Yes")),IF(C115=$W$33,GETPIVOTDATA("tip %",$W$32,"day","Thur"),IF(C115=$W$34,GETPIVOTDATA("tip %",$W$32,"day","Fri"),IF(C115=$W$35,GETPIVOTDATA("tip %",$W$32,"day","Sat"),IF(C115=$W$36,GETPIVOTDATA("tip %",$W$32,"day","Sun"),GETPIVOTDATA("tip %",$W$32))))),IF(D115=$AE$27,GETPIVOTDATA("tip %",$AE$26,"time","Dinner"),GETPIVOTDATA("tip %",$AE$26,"time","Lunch")),IF(N115=$AA$33,GETPIVOTDATA("Average of tip %",$AA$32,"size",1),IF(N115=$AA$34,GETPIVOTDATA("Average of tip %",$AA$32,"size",2),IF(N115=$AA$35,GETPIVOTDATA("Average of tip %",$AA$32,"size",3),IF(N115=$AA$36,GETPIVOTDATA("Average of tip %",$AA$32,"size",4),IF(N115=$AA$37,GETPIVOTDATA("Average of tip %",$AA$32,"size",5),GETPIVOTDATA("Average of tip %",$AA$32,"size",6)))))))</f>
        <v>0.16087822567523408</v>
      </c>
      <c r="S115" s="14">
        <f t="shared" si="3"/>
        <v>2.9530824612596698</v>
      </c>
      <c r="T115" s="17">
        <f t="shared" si="4"/>
        <v>2.7461913122762458</v>
      </c>
      <c r="U115" s="12">
        <f t="shared" si="5"/>
        <v>2.849636886767958</v>
      </c>
    </row>
    <row r="116" spans="1:21" x14ac:dyDescent="0.2">
      <c r="A116" t="s">
        <v>11</v>
      </c>
      <c r="B116" t="s">
        <v>8</v>
      </c>
      <c r="C116" t="s">
        <v>21</v>
      </c>
      <c r="D116" t="s">
        <v>10</v>
      </c>
      <c r="E116">
        <v>3</v>
      </c>
      <c r="F116">
        <v>17.59</v>
      </c>
      <c r="G116">
        <v>2.64</v>
      </c>
      <c r="H116" s="5">
        <f>G116/F116</f>
        <v>0.15008527572484368</v>
      </c>
      <c r="J116" s="16">
        <f>IF(A116="Male",0, 1)</f>
        <v>0</v>
      </c>
      <c r="K116" s="13">
        <f>IF(B116="No",0, 1)</f>
        <v>0</v>
      </c>
      <c r="L116" s="13">
        <f>IF(C116="Mon",1,IF(C116="Tues",2,IF(C116="Wed",3,IF(C116="Thur",4,IF(C116="Fri",5,IF(C116="Sat",6,7))))))</f>
        <v>6</v>
      </c>
      <c r="M116" s="13">
        <f>IF(D116="Lunch",0,1)</f>
        <v>1</v>
      </c>
      <c r="N116" s="13">
        <v>3</v>
      </c>
      <c r="O116" s="13">
        <v>17.260000000000002</v>
      </c>
      <c r="P116" s="13">
        <v>2.74</v>
      </c>
      <c r="Q116" s="15">
        <f>P116/O116</f>
        <v>0.15874855156431053</v>
      </c>
      <c r="R116" s="15">
        <f>AVERAGE(IF(A116="Female",GETPIVOTDATA("tip %",$W$26,"sex","Female"),GETPIVOTDATA("tip %",$W$26,"sex","Male")),IF(K116=0,GETPIVOTDATA("tip %",$AA$26,"smoker","No"),GETPIVOTDATA("tip %",$AA$26,"smoker","Yes")),IF(C116=$W$33,GETPIVOTDATA("tip %",$W$32,"day","Thur"),IF(C116=$W$34,GETPIVOTDATA("tip %",$W$32,"day","Fri"),IF(C116=$W$35,GETPIVOTDATA("tip %",$W$32,"day","Sat"),IF(C116=$W$36,GETPIVOTDATA("tip %",$W$32,"day","Sun"),GETPIVOTDATA("tip %",$W$32))))),IF(D116=$AE$27,GETPIVOTDATA("tip %",$AE$26,"time","Dinner"),GETPIVOTDATA("tip %",$AE$26,"time","Lunch")),IF(N116=$AA$33,GETPIVOTDATA("Average of tip %",$AA$32,"size",1),IF(N116=$AA$34,GETPIVOTDATA("Average of tip %",$AA$32,"size",2),IF(N116=$AA$35,GETPIVOTDATA("Average of tip %",$AA$32,"size",3),IF(N116=$AA$36,GETPIVOTDATA("Average of tip %",$AA$32,"size",4),IF(N116=$AA$37,GETPIVOTDATA("Average of tip %",$AA$32,"size",5),GETPIVOTDATA("Average of tip %",$AA$32,"size",6)))))))</f>
        <v>0.15636107381763736</v>
      </c>
      <c r="S116" s="14">
        <f t="shared" si="3"/>
        <v>3.1140807873177652</v>
      </c>
      <c r="T116" s="17">
        <f t="shared" si="4"/>
        <v>2.6987921340924212</v>
      </c>
      <c r="U116" s="12">
        <f t="shared" si="5"/>
        <v>2.906436460705093</v>
      </c>
    </row>
    <row r="117" spans="1:21" x14ac:dyDescent="0.2">
      <c r="A117" t="s">
        <v>11</v>
      </c>
      <c r="B117" t="s">
        <v>8</v>
      </c>
      <c r="C117" t="s">
        <v>23</v>
      </c>
      <c r="D117" t="s">
        <v>24</v>
      </c>
      <c r="E117">
        <v>2</v>
      </c>
      <c r="F117">
        <v>17.29</v>
      </c>
      <c r="G117">
        <v>2.71</v>
      </c>
      <c r="H117" s="5">
        <f>G117/F117</f>
        <v>0.15673799884326201</v>
      </c>
      <c r="J117" s="16">
        <f>IF(A117="Male",0, 1)</f>
        <v>0</v>
      </c>
      <c r="K117" s="13">
        <f>IF(B117="No",0, 1)</f>
        <v>0</v>
      </c>
      <c r="L117" s="13">
        <f>IF(C117="Mon",1,IF(C117="Tues",2,IF(C117="Wed",3,IF(C117="Thur",4,IF(C117="Fri",5,IF(C117="Sat",6,7))))))</f>
        <v>4</v>
      </c>
      <c r="M117" s="13">
        <f>IF(D117="Lunch",0,1)</f>
        <v>0</v>
      </c>
      <c r="N117" s="13">
        <v>2</v>
      </c>
      <c r="O117" s="13">
        <v>17.29</v>
      </c>
      <c r="P117" s="13">
        <v>2.71</v>
      </c>
      <c r="Q117" s="15">
        <f>P117/O117</f>
        <v>0.15673799884326201</v>
      </c>
      <c r="R117" s="15">
        <f>AVERAGE(IF(A117="Female",GETPIVOTDATA("tip %",$W$26,"sex","Female"),GETPIVOTDATA("tip %",$W$26,"sex","Male")),IF(K117=0,GETPIVOTDATA("tip %",$AA$26,"smoker","No"),GETPIVOTDATA("tip %",$AA$26,"smoker","Yes")),IF(C117=$W$33,GETPIVOTDATA("tip %",$W$32,"day","Thur"),IF(C117=$W$34,GETPIVOTDATA("tip %",$W$32,"day","Fri"),IF(C117=$W$35,GETPIVOTDATA("tip %",$W$32,"day","Sat"),IF(C117=$W$36,GETPIVOTDATA("tip %",$W$32,"day","Sun"),GETPIVOTDATA("tip %",$W$32))))),IF(D117=$AE$27,GETPIVOTDATA("tip %",$AE$26,"time","Dinner"),GETPIVOTDATA("tip %",$AE$26,"time","Lunch")),IF(N117=$AA$33,GETPIVOTDATA("Average of tip %",$AA$32,"size",1),IF(N117=$AA$34,GETPIVOTDATA("Average of tip %",$AA$32,"size",2),IF(N117=$AA$35,GETPIVOTDATA("Average of tip %",$AA$32,"size",3),IF(N117=$AA$36,GETPIVOTDATA("Average of tip %",$AA$32,"size",4),IF(N117=$AA$37,GETPIVOTDATA("Average of tip %",$AA$32,"size",5),GETPIVOTDATA("Average of tip %",$AA$32,"size",6)))))))</f>
        <v>0.16162035260949875</v>
      </c>
      <c r="S117" s="14">
        <f t="shared" si="3"/>
        <v>2.8326639359071408</v>
      </c>
      <c r="T117" s="17">
        <f t="shared" si="4"/>
        <v>2.7944158966182333</v>
      </c>
      <c r="U117" s="12">
        <f t="shared" si="5"/>
        <v>2.8135399162626871</v>
      </c>
    </row>
    <row r="118" spans="1:21" x14ac:dyDescent="0.2">
      <c r="A118" t="s">
        <v>11</v>
      </c>
      <c r="B118" t="s">
        <v>8</v>
      </c>
      <c r="C118" t="s">
        <v>21</v>
      </c>
      <c r="D118" t="s">
        <v>10</v>
      </c>
      <c r="E118">
        <v>2</v>
      </c>
      <c r="F118">
        <v>13.28</v>
      </c>
      <c r="G118">
        <v>2.72</v>
      </c>
      <c r="H118" s="5">
        <f>G118/F118</f>
        <v>0.20481927710843376</v>
      </c>
      <c r="J118" s="16">
        <f>IF(A118="Male",0, 1)</f>
        <v>0</v>
      </c>
      <c r="K118" s="13">
        <f>IF(B118="No",0, 1)</f>
        <v>0</v>
      </c>
      <c r="L118" s="13">
        <f>IF(C118="Mon",1,IF(C118="Tues",2,IF(C118="Wed",3,IF(C118="Thur",4,IF(C118="Fri",5,IF(C118="Sat",6,7))))))</f>
        <v>6</v>
      </c>
      <c r="M118" s="13">
        <f>IF(D118="Lunch",0,1)</f>
        <v>1</v>
      </c>
      <c r="N118" s="13">
        <v>2</v>
      </c>
      <c r="O118" s="13">
        <v>17.309999999999999</v>
      </c>
      <c r="P118" s="13">
        <v>3.5</v>
      </c>
      <c r="Q118" s="15">
        <f>P118/O118</f>
        <v>0.20219526285384173</v>
      </c>
      <c r="R118" s="15">
        <f>AVERAGE(IF(A118="Female",GETPIVOTDATA("tip %",$W$26,"sex","Female"),GETPIVOTDATA("tip %",$W$26,"sex","Male")),IF(K118=0,GETPIVOTDATA("tip %",$AA$26,"smoker","No"),GETPIVOTDATA("tip %",$AA$26,"smoker","Yes")),IF(C118=$W$33,GETPIVOTDATA("tip %",$W$32,"day","Thur"),IF(C118=$W$34,GETPIVOTDATA("tip %",$W$32,"day","Fri"),IF(C118=$W$35,GETPIVOTDATA("tip %",$W$32,"day","Sat"),IF(C118=$W$36,GETPIVOTDATA("tip %",$W$32,"day","Sun"),GETPIVOTDATA("tip %",$W$32))))),IF(D118=$AE$27,GETPIVOTDATA("tip %",$AE$26,"time","Dinner"),GETPIVOTDATA("tip %",$AE$26,"time","Lunch")),IF(N118=$AA$33,GETPIVOTDATA("Average of tip %",$AA$32,"size",1),IF(N118=$AA$34,GETPIVOTDATA("Average of tip %",$AA$32,"size",2),IF(N118=$AA$35,GETPIVOTDATA("Average of tip %",$AA$32,"size",3),IF(N118=$AA$36,GETPIVOTDATA("Average of tip %",$AA$32,"size",4),IF(N118=$AA$37,GETPIVOTDATA("Average of tip %",$AA$32,"size",5),GETPIVOTDATA("Average of tip %",$AA$32,"size",6)))))))</f>
        <v>0.15907354121717945</v>
      </c>
      <c r="S118" s="14">
        <f t="shared" si="3"/>
        <v>2.9519107468319357</v>
      </c>
      <c r="T118" s="17">
        <f t="shared" si="4"/>
        <v>2.7535629984693761</v>
      </c>
      <c r="U118" s="12">
        <f t="shared" si="5"/>
        <v>2.8527368726506559</v>
      </c>
    </row>
    <row r="119" spans="1:21" x14ac:dyDescent="0.2">
      <c r="A119" t="s">
        <v>11</v>
      </c>
      <c r="B119" t="s">
        <v>8</v>
      </c>
      <c r="C119" t="s">
        <v>9</v>
      </c>
      <c r="D119" t="s">
        <v>10</v>
      </c>
      <c r="E119">
        <v>3</v>
      </c>
      <c r="F119">
        <v>17.260000000000002</v>
      </c>
      <c r="G119">
        <v>2.74</v>
      </c>
      <c r="H119" s="5">
        <f>G119/F119</f>
        <v>0.15874855156431053</v>
      </c>
      <c r="J119" s="16">
        <f>IF(A119="Male",0, 1)</f>
        <v>0</v>
      </c>
      <c r="K119" s="13">
        <f>IF(B119="No",0, 1)</f>
        <v>0</v>
      </c>
      <c r="L119" s="13">
        <f>IF(C119="Mon",1,IF(C119="Tues",2,IF(C119="Wed",3,IF(C119="Thur",4,IF(C119="Fri",5,IF(C119="Sat",6,7))))))</f>
        <v>7</v>
      </c>
      <c r="M119" s="13">
        <f>IF(D119="Lunch",0,1)</f>
        <v>1</v>
      </c>
      <c r="N119" s="13">
        <v>2</v>
      </c>
      <c r="O119" s="13">
        <v>17.46</v>
      </c>
      <c r="P119" s="13">
        <v>2.54</v>
      </c>
      <c r="Q119" s="15">
        <f>P119/O119</f>
        <v>0.14547537227949597</v>
      </c>
      <c r="R119" s="15">
        <f>AVERAGE(IF(A119="Female",GETPIVOTDATA("tip %",$W$26,"sex","Female"),GETPIVOTDATA("tip %",$W$26,"sex","Male")),IF(K119=0,GETPIVOTDATA("tip %",$AA$26,"smoker","No"),GETPIVOTDATA("tip %",$AA$26,"smoker","Yes")),IF(C119=$W$33,GETPIVOTDATA("tip %",$W$32,"day","Thur"),IF(C119=$W$34,GETPIVOTDATA("tip %",$W$32,"day","Fri"),IF(C119=$W$35,GETPIVOTDATA("tip %",$W$32,"day","Sat"),IF(C119=$W$36,GETPIVOTDATA("tip %",$W$32,"day","Sun"),GETPIVOTDATA("tip %",$W$32))))),IF(D119=$AE$27,GETPIVOTDATA("tip %",$AE$26,"time","Dinner"),GETPIVOTDATA("tip %",$AE$26,"time","Lunch")),IF(N119=$AA$33,GETPIVOTDATA("Average of tip %",$AA$32,"size",1),IF(N119=$AA$34,GETPIVOTDATA("Average of tip %",$AA$32,"size",2),IF(N119=$AA$35,GETPIVOTDATA("Average of tip %",$AA$32,"size",3),IF(N119=$AA$36,GETPIVOTDATA("Average of tip %",$AA$32,"size",4),IF(N119=$AA$37,GETPIVOTDATA("Average of tip %",$AA$32,"size",5),GETPIVOTDATA("Average of tip %",$AA$32,"size",6)))))))</f>
        <v>0.16182265520985073</v>
      </c>
      <c r="S119" s="14">
        <f t="shared" si="3"/>
        <v>3.1664864134520667</v>
      </c>
      <c r="T119" s="17">
        <f t="shared" si="4"/>
        <v>2.8254235599639941</v>
      </c>
      <c r="U119" s="12">
        <f t="shared" si="5"/>
        <v>2.9959549867080302</v>
      </c>
    </row>
    <row r="120" spans="1:21" x14ac:dyDescent="0.2">
      <c r="A120" t="s">
        <v>7</v>
      </c>
      <c r="B120" t="s">
        <v>8</v>
      </c>
      <c r="C120" t="s">
        <v>21</v>
      </c>
      <c r="D120" t="s">
        <v>10</v>
      </c>
      <c r="E120">
        <v>2</v>
      </c>
      <c r="F120">
        <v>20.29</v>
      </c>
      <c r="G120">
        <v>2.75</v>
      </c>
      <c r="H120" s="5">
        <f>G120/F120</f>
        <v>0.13553474618038444</v>
      </c>
      <c r="J120" s="16">
        <f>IF(A120="Male",0, 1)</f>
        <v>1</v>
      </c>
      <c r="K120" s="13">
        <f>IF(B120="No",0, 1)</f>
        <v>0</v>
      </c>
      <c r="L120" s="13">
        <f>IF(C120="Mon",1,IF(C120="Tues",2,IF(C120="Wed",3,IF(C120="Thur",4,IF(C120="Fri",5,IF(C120="Sat",6,7))))))</f>
        <v>6</v>
      </c>
      <c r="M120" s="13">
        <f>IF(D120="Lunch",0,1)</f>
        <v>1</v>
      </c>
      <c r="N120" s="13">
        <v>2</v>
      </c>
      <c r="O120" s="13">
        <v>17.47</v>
      </c>
      <c r="P120" s="13">
        <v>3.5</v>
      </c>
      <c r="Q120" s="15">
        <f>P120/O120</f>
        <v>0.20034344590726963</v>
      </c>
      <c r="R120" s="15">
        <f>AVERAGE(IF(A120="Female",GETPIVOTDATA("tip %",$W$26,"sex","Female"),GETPIVOTDATA("tip %",$W$26,"sex","Male")),IF(K120=0,GETPIVOTDATA("tip %",$AA$26,"smoker","No"),GETPIVOTDATA("tip %",$AA$26,"smoker","Yes")),IF(C120=$W$33,GETPIVOTDATA("tip %",$W$32,"day","Thur"),IF(C120=$W$34,GETPIVOTDATA("tip %",$W$32,"day","Fri"),IF(C120=$W$35,GETPIVOTDATA("tip %",$W$32,"day","Sat"),IF(C120=$W$36,GETPIVOTDATA("tip %",$W$32,"day","Sun"),GETPIVOTDATA("tip %",$W$32))))),IF(D120=$AE$27,GETPIVOTDATA("tip %",$AE$26,"time","Dinner"),GETPIVOTDATA("tip %",$AE$26,"time","Lunch")),IF(N120=$AA$33,GETPIVOTDATA("Average of tip %",$AA$32,"size",1),IF(N120=$AA$34,GETPIVOTDATA("Average of tip %",$AA$32,"size",2),IF(N120=$AA$35,GETPIVOTDATA("Average of tip %",$AA$32,"size",3),IF(N120=$AA$36,GETPIVOTDATA("Average of tip %",$AA$32,"size",4),IF(N120=$AA$37,GETPIVOTDATA("Average of tip %",$AA$32,"size",5),GETPIVOTDATA("Average of tip %",$AA$32,"size",6)))))))</f>
        <v>0.16084157908210489</v>
      </c>
      <c r="S120" s="14">
        <f t="shared" si="3"/>
        <v>2.9006768351253682</v>
      </c>
      <c r="T120" s="17">
        <f t="shared" si="4"/>
        <v>2.8099023865643722</v>
      </c>
      <c r="U120" s="12">
        <f t="shared" si="5"/>
        <v>2.8552896108448702</v>
      </c>
    </row>
    <row r="121" spans="1:21" x14ac:dyDescent="0.2">
      <c r="A121" t="s">
        <v>7</v>
      </c>
      <c r="B121" t="s">
        <v>8</v>
      </c>
      <c r="C121" t="s">
        <v>23</v>
      </c>
      <c r="D121" t="s">
        <v>24</v>
      </c>
      <c r="E121">
        <v>2</v>
      </c>
      <c r="F121">
        <v>13.16</v>
      </c>
      <c r="G121">
        <v>2.75</v>
      </c>
      <c r="H121" s="5">
        <f>G121/F121</f>
        <v>0.20896656534954408</v>
      </c>
      <c r="J121" s="16">
        <f>IF(A121="Male",0, 1)</f>
        <v>1</v>
      </c>
      <c r="K121" s="13">
        <f>IF(B121="No",0, 1)</f>
        <v>0</v>
      </c>
      <c r="L121" s="13">
        <f>IF(C121="Mon",1,IF(C121="Tues",2,IF(C121="Wed",3,IF(C121="Thur",4,IF(C121="Fri",5,IF(C121="Sat",6,7))))))</f>
        <v>4</v>
      </c>
      <c r="M121" s="13">
        <f>IF(D121="Lunch",0,1)</f>
        <v>0</v>
      </c>
      <c r="N121" s="13">
        <v>2</v>
      </c>
      <c r="O121" s="13">
        <v>17.510000000000002</v>
      </c>
      <c r="P121" s="13">
        <v>3</v>
      </c>
      <c r="Q121" s="15">
        <f>P121/O121</f>
        <v>0.17133066818960593</v>
      </c>
      <c r="R121" s="15">
        <f>AVERAGE(IF(A121="Female",GETPIVOTDATA("tip %",$W$26,"sex","Female"),GETPIVOTDATA("tip %",$W$26,"sex","Male")),IF(K121=0,GETPIVOTDATA("tip %",$AA$26,"smoker","No"),GETPIVOTDATA("tip %",$AA$26,"smoker","Yes")),IF(C121=$W$33,GETPIVOTDATA("tip %",$W$32,"day","Thur"),IF(C121=$W$34,GETPIVOTDATA("tip %",$W$32,"day","Fri"),IF(C121=$W$35,GETPIVOTDATA("tip %",$W$32,"day","Sat"),IF(C121=$W$36,GETPIVOTDATA("tip %",$W$32,"day","Sun"),GETPIVOTDATA("tip %",$W$32))))),IF(D121=$AE$27,GETPIVOTDATA("tip %",$AE$26,"time","Dinner"),GETPIVOTDATA("tip %",$AE$26,"time","Lunch")),IF(N121=$AA$33,GETPIVOTDATA("Average of tip %",$AA$32,"size",1),IF(N121=$AA$34,GETPIVOTDATA("Average of tip %",$AA$32,"size",2),IF(N121=$AA$35,GETPIVOTDATA("Average of tip %",$AA$32,"size",3),IF(N121=$AA$36,GETPIVOTDATA("Average of tip %",$AA$32,"size",4),IF(N121=$AA$37,GETPIVOTDATA("Average of tip %",$AA$32,"size",5),GETPIVOTDATA("Average of tip %",$AA$32,"size",6)))))))</f>
        <v>0.16338839047442422</v>
      </c>
      <c r="S121" s="14">
        <f t="shared" si="3"/>
        <v>2.7814300242005734</v>
      </c>
      <c r="T121" s="17">
        <f t="shared" si="4"/>
        <v>2.8609307172071681</v>
      </c>
      <c r="U121" s="12">
        <f t="shared" si="5"/>
        <v>2.8211803707038707</v>
      </c>
    </row>
    <row r="122" spans="1:21" x14ac:dyDescent="0.2">
      <c r="A122" t="s">
        <v>7</v>
      </c>
      <c r="B122" t="s">
        <v>8</v>
      </c>
      <c r="C122" t="s">
        <v>23</v>
      </c>
      <c r="D122" t="s">
        <v>24</v>
      </c>
      <c r="E122">
        <v>2</v>
      </c>
      <c r="F122">
        <v>20.27</v>
      </c>
      <c r="G122">
        <v>2.83</v>
      </c>
      <c r="H122" s="5">
        <f>G122/F122</f>
        <v>0.13961519486926494</v>
      </c>
      <c r="J122" s="16">
        <f>IF(A122="Male",0, 1)</f>
        <v>1</v>
      </c>
      <c r="K122" s="13">
        <f>IF(B122="No",0, 1)</f>
        <v>0</v>
      </c>
      <c r="L122" s="13">
        <f>IF(C122="Mon",1,IF(C122="Tues",2,IF(C122="Wed",3,IF(C122="Thur",4,IF(C122="Fri",5,IF(C122="Sat",6,7))))))</f>
        <v>4</v>
      </c>
      <c r="M122" s="13">
        <f>IF(D122="Lunch",0,1)</f>
        <v>0</v>
      </c>
      <c r="N122" s="13">
        <v>3</v>
      </c>
      <c r="O122" s="13">
        <v>17.59</v>
      </c>
      <c r="P122" s="13">
        <v>2.64</v>
      </c>
      <c r="Q122" s="15">
        <f>P122/O122</f>
        <v>0.15008527572484368</v>
      </c>
      <c r="R122" s="15">
        <f>AVERAGE(IF(A122="Female",GETPIVOTDATA("tip %",$W$26,"sex","Female"),GETPIVOTDATA("tip %",$W$26,"sex","Male")),IF(K122=0,GETPIVOTDATA("tip %",$AA$26,"smoker","No"),GETPIVOTDATA("tip %",$AA$26,"smoker","Yes")),IF(C122=$W$33,GETPIVOTDATA("tip %",$W$32,"day","Thur"),IF(C122=$W$34,GETPIVOTDATA("tip %",$W$32,"day","Fri"),IF(C122=$W$35,GETPIVOTDATA("tip %",$W$32,"day","Sat"),IF(C122=$W$36,GETPIVOTDATA("tip %",$W$32,"day","Sun"),GETPIVOTDATA("tip %",$W$32))))),IF(D122=$AE$27,GETPIVOTDATA("tip %",$AE$26,"time","Dinner"),GETPIVOTDATA("tip %",$AE$26,"time","Lunch")),IF(N122=$AA$33,GETPIVOTDATA("Average of tip %",$AA$32,"size",1),IF(N122=$AA$34,GETPIVOTDATA("Average of tip %",$AA$32,"size",2),IF(N122=$AA$35,GETPIVOTDATA("Average of tip %",$AA$32,"size",3),IF(N122=$AA$36,GETPIVOTDATA("Average of tip %",$AA$32,"size",4),IF(N122=$AA$37,GETPIVOTDATA("Average of tip %",$AA$32,"size",5),GETPIVOTDATA("Average of tip %",$AA$32,"size",6)))))))</f>
        <v>0.16067592307488207</v>
      </c>
      <c r="S122" s="14">
        <f t="shared" si="3"/>
        <v>2.7814300242005734</v>
      </c>
      <c r="T122" s="17">
        <f t="shared" si="4"/>
        <v>2.8262894868871755</v>
      </c>
      <c r="U122" s="12">
        <f t="shared" si="5"/>
        <v>2.8038597555438747</v>
      </c>
    </row>
    <row r="123" spans="1:21" x14ac:dyDescent="0.2">
      <c r="A123" t="s">
        <v>7</v>
      </c>
      <c r="B123" t="s">
        <v>22</v>
      </c>
      <c r="C123" t="s">
        <v>21</v>
      </c>
      <c r="D123" t="s">
        <v>10</v>
      </c>
      <c r="E123">
        <v>2</v>
      </c>
      <c r="F123">
        <v>22.12</v>
      </c>
      <c r="G123">
        <v>2.88</v>
      </c>
      <c r="H123" s="5">
        <f>G123/F123</f>
        <v>0.13019891500904157</v>
      </c>
      <c r="J123" s="16">
        <f>IF(A123="Male",0, 1)</f>
        <v>1</v>
      </c>
      <c r="K123" s="13">
        <f>IF(B123="No",0, 1)</f>
        <v>1</v>
      </c>
      <c r="L123" s="13">
        <f>IF(C123="Mon",1,IF(C123="Tues",2,IF(C123="Wed",3,IF(C123="Thur",4,IF(C123="Fri",5,IF(C123="Sat",6,7))))))</f>
        <v>6</v>
      </c>
      <c r="M123" s="13">
        <f>IF(D123="Lunch",0,1)</f>
        <v>1</v>
      </c>
      <c r="N123" s="13">
        <v>2</v>
      </c>
      <c r="O123" s="13">
        <v>17.78</v>
      </c>
      <c r="P123" s="13">
        <v>3.27</v>
      </c>
      <c r="Q123" s="15">
        <f>P123/O123</f>
        <v>0.18391451068616421</v>
      </c>
      <c r="R123" s="15">
        <f>AVERAGE(IF(A123="Female",GETPIVOTDATA("tip %",$W$26,"sex","Female"),GETPIVOTDATA("tip %",$W$26,"sex","Male")),IF(K123=0,GETPIVOTDATA("tip %",$AA$26,"smoker","No"),GETPIVOTDATA("tip %",$AA$26,"smoker","Yes")),IF(C123=$W$33,GETPIVOTDATA("tip %",$W$32,"day","Thur"),IF(C123=$W$34,GETPIVOTDATA("tip %",$W$32,"day","Fri"),IF(C123=$W$35,GETPIVOTDATA("tip %",$W$32,"day","Sat"),IF(C123=$W$36,GETPIVOTDATA("tip %",$W$32,"day","Sun"),GETPIVOTDATA("tip %",$W$32))))),IF(D123=$AE$27,GETPIVOTDATA("tip %",$AE$26,"time","Dinner"),GETPIVOTDATA("tip %",$AE$26,"time","Lunch")),IF(N123=$AA$33,GETPIVOTDATA("Average of tip %",$AA$32,"size",1),IF(N123=$AA$34,GETPIVOTDATA("Average of tip %",$AA$32,"size",2),IF(N123=$AA$35,GETPIVOTDATA("Average of tip %",$AA$32,"size",3),IF(N123=$AA$36,GETPIVOTDATA("Average of tip %",$AA$32,"size",4),IF(N123=$AA$37,GETPIVOTDATA("Average of tip %",$AA$32,"size",5),GETPIVOTDATA("Average of tip %",$AA$32,"size",6)))))))</f>
        <v>0.16161509557363743</v>
      </c>
      <c r="S123" s="14">
        <f t="shared" si="3"/>
        <v>2.9040479096820868</v>
      </c>
      <c r="T123" s="17">
        <f t="shared" si="4"/>
        <v>2.8735163992992736</v>
      </c>
      <c r="U123" s="12">
        <f t="shared" si="5"/>
        <v>2.8887821544906802</v>
      </c>
    </row>
    <row r="124" spans="1:21" x14ac:dyDescent="0.2">
      <c r="A124" t="s">
        <v>7</v>
      </c>
      <c r="B124" t="s">
        <v>8</v>
      </c>
      <c r="C124" t="s">
        <v>23</v>
      </c>
      <c r="D124" t="s">
        <v>24</v>
      </c>
      <c r="E124">
        <v>4</v>
      </c>
      <c r="F124">
        <v>24.08</v>
      </c>
      <c r="G124">
        <v>2.92</v>
      </c>
      <c r="H124" s="5">
        <f>G124/F124</f>
        <v>0.1212624584717608</v>
      </c>
      <c r="J124" s="16">
        <f>IF(A124="Male",0, 1)</f>
        <v>1</v>
      </c>
      <c r="K124" s="13">
        <f>IF(B124="No",0, 1)</f>
        <v>0</v>
      </c>
      <c r="L124" s="13">
        <f>IF(C124="Mon",1,IF(C124="Tues",2,IF(C124="Wed",3,IF(C124="Thur",4,IF(C124="Fri",5,IF(C124="Sat",6,7))))))</f>
        <v>4</v>
      </c>
      <c r="M124" s="13">
        <f>IF(D124="Lunch",0,1)</f>
        <v>0</v>
      </c>
      <c r="N124" s="13">
        <v>4</v>
      </c>
      <c r="O124" s="13">
        <v>17.809999999999999</v>
      </c>
      <c r="P124" s="13">
        <v>2.34</v>
      </c>
      <c r="Q124" s="15">
        <f>P124/O124</f>
        <v>0.13138686131386862</v>
      </c>
      <c r="R124" s="15">
        <f>AVERAGE(IF(A124="Female",GETPIVOTDATA("tip %",$W$26,"sex","Female"),GETPIVOTDATA("tip %",$W$26,"sex","Male")),IF(K124=0,GETPIVOTDATA("tip %",$AA$26,"smoker","No"),GETPIVOTDATA("tip %",$AA$26,"smoker","Yes")),IF(C124=$W$33,GETPIVOTDATA("tip %",$W$32,"day","Thur"),IF(C124=$W$34,GETPIVOTDATA("tip %",$W$32,"day","Fri"),IF(C124=$W$35,GETPIVOTDATA("tip %",$W$32,"day","Sat"),IF(C124=$W$36,GETPIVOTDATA("tip %",$W$32,"day","Sun"),GETPIVOTDATA("tip %",$W$32))))),IF(D124=$AE$27,GETPIVOTDATA("tip %",$AE$26,"time","Dinner"),GETPIVOTDATA("tip %",$AE$26,"time","Lunch")),IF(N124=$AA$33,GETPIVOTDATA("Average of tip %",$AA$32,"size",1),IF(N124=$AA$34,GETPIVOTDATA("Average of tip %",$AA$32,"size",2),IF(N124=$AA$35,GETPIVOTDATA("Average of tip %",$AA$32,"size",3),IF(N124=$AA$36,GETPIVOTDATA("Average of tip %",$AA$32,"size",4),IF(N124=$AA$37,GETPIVOTDATA("Average of tip %",$AA$32,"size",5),GETPIVOTDATA("Average of tip %",$AA$32,"size",6)))))))</f>
        <v>0.15943435340616108</v>
      </c>
      <c r="S124" s="14">
        <f t="shared" si="3"/>
        <v>3.0920495668201156</v>
      </c>
      <c r="T124" s="17">
        <f t="shared" si="4"/>
        <v>2.8395258341637284</v>
      </c>
      <c r="U124" s="12">
        <f t="shared" si="5"/>
        <v>2.965787700491922</v>
      </c>
    </row>
    <row r="125" spans="1:21" x14ac:dyDescent="0.2">
      <c r="A125" t="s">
        <v>7</v>
      </c>
      <c r="B125" t="s">
        <v>8</v>
      </c>
      <c r="C125" t="s">
        <v>21</v>
      </c>
      <c r="D125" t="s">
        <v>10</v>
      </c>
      <c r="E125">
        <v>2</v>
      </c>
      <c r="F125">
        <v>19.649999999999999</v>
      </c>
      <c r="G125">
        <v>3</v>
      </c>
      <c r="H125" s="5">
        <f>G125/F125</f>
        <v>0.15267175572519084</v>
      </c>
      <c r="J125" s="16">
        <f>IF(A125="Male",0, 1)</f>
        <v>1</v>
      </c>
      <c r="K125" s="13">
        <f>IF(B125="No",0, 1)</f>
        <v>0</v>
      </c>
      <c r="L125" s="13">
        <f>IF(C125="Mon",1,IF(C125="Tues",2,IF(C125="Wed",3,IF(C125="Thur",4,IF(C125="Fri",5,IF(C125="Sat",6,7))))))</f>
        <v>6</v>
      </c>
      <c r="M125" s="13">
        <f>IF(D125="Lunch",0,1)</f>
        <v>1</v>
      </c>
      <c r="N125" s="13">
        <v>2</v>
      </c>
      <c r="O125" s="13">
        <v>17.82</v>
      </c>
      <c r="P125" s="13">
        <v>1.75</v>
      </c>
      <c r="Q125" s="15">
        <f>P125/O125</f>
        <v>9.8204264870931535E-2</v>
      </c>
      <c r="R125" s="15">
        <f>AVERAGE(IF(A125="Female",GETPIVOTDATA("tip %",$W$26,"sex","Female"),GETPIVOTDATA("tip %",$W$26,"sex","Male")),IF(K125=0,GETPIVOTDATA("tip %",$AA$26,"smoker","No"),GETPIVOTDATA("tip %",$AA$26,"smoker","Yes")),IF(C125=$W$33,GETPIVOTDATA("tip %",$W$32,"day","Thur"),IF(C125=$W$34,GETPIVOTDATA("tip %",$W$32,"day","Fri"),IF(C125=$W$35,GETPIVOTDATA("tip %",$W$32,"day","Sat"),IF(C125=$W$36,GETPIVOTDATA("tip %",$W$32,"day","Sun"),GETPIVOTDATA("tip %",$W$32))))),IF(D125=$AE$27,GETPIVOTDATA("tip %",$AE$26,"time","Dinner"),GETPIVOTDATA("tip %",$AE$26,"time","Lunch")),IF(N125=$AA$33,GETPIVOTDATA("Average of tip %",$AA$32,"size",1),IF(N125=$AA$34,GETPIVOTDATA("Average of tip %",$AA$32,"size",2),IF(N125=$AA$35,GETPIVOTDATA("Average of tip %",$AA$32,"size",3),IF(N125=$AA$36,GETPIVOTDATA("Average of tip %",$AA$32,"size",4),IF(N125=$AA$37,GETPIVOTDATA("Average of tip %",$AA$32,"size",5),GETPIVOTDATA("Average of tip %",$AA$32,"size",6)))))))</f>
        <v>0.16084157908210489</v>
      </c>
      <c r="S125" s="14">
        <f t="shared" si="3"/>
        <v>2.9006768351253682</v>
      </c>
      <c r="T125" s="17">
        <f t="shared" si="4"/>
        <v>2.866196939243109</v>
      </c>
      <c r="U125" s="12">
        <f t="shared" si="5"/>
        <v>2.8834368871842386</v>
      </c>
    </row>
    <row r="126" spans="1:21" x14ac:dyDescent="0.2">
      <c r="A126" t="s">
        <v>7</v>
      </c>
      <c r="B126" t="s">
        <v>8</v>
      </c>
      <c r="C126" t="s">
        <v>21</v>
      </c>
      <c r="D126" t="s">
        <v>10</v>
      </c>
      <c r="E126">
        <v>2</v>
      </c>
      <c r="F126">
        <v>15.06</v>
      </c>
      <c r="G126">
        <v>3</v>
      </c>
      <c r="H126" s="5">
        <f>G126/F126</f>
        <v>0.19920318725099601</v>
      </c>
      <c r="J126" s="16">
        <f>IF(A126="Male",0, 1)</f>
        <v>1</v>
      </c>
      <c r="K126" s="13">
        <f>IF(B126="No",0, 1)</f>
        <v>0</v>
      </c>
      <c r="L126" s="13">
        <f>IF(C126="Mon",1,IF(C126="Tues",2,IF(C126="Wed",3,IF(C126="Thur",4,IF(C126="Fri",5,IF(C126="Sat",6,7))))))</f>
        <v>6</v>
      </c>
      <c r="M126" s="13">
        <f>IF(D126="Lunch",0,1)</f>
        <v>1</v>
      </c>
      <c r="N126" s="13">
        <v>2</v>
      </c>
      <c r="O126" s="13">
        <v>17.89</v>
      </c>
      <c r="P126" s="13">
        <v>2</v>
      </c>
      <c r="Q126" s="15">
        <f>P126/O126</f>
        <v>0.11179429849077696</v>
      </c>
      <c r="R126" s="15">
        <f>AVERAGE(IF(A126="Female",GETPIVOTDATA("tip %",$W$26,"sex","Female"),GETPIVOTDATA("tip %",$W$26,"sex","Male")),IF(K126=0,GETPIVOTDATA("tip %",$AA$26,"smoker","No"),GETPIVOTDATA("tip %",$AA$26,"smoker","Yes")),IF(C126=$W$33,GETPIVOTDATA("tip %",$W$32,"day","Thur"),IF(C126=$W$34,GETPIVOTDATA("tip %",$W$32,"day","Fri"),IF(C126=$W$35,GETPIVOTDATA("tip %",$W$32,"day","Sat"),IF(C126=$W$36,GETPIVOTDATA("tip %",$W$32,"day","Sun"),GETPIVOTDATA("tip %",$W$32))))),IF(D126=$AE$27,GETPIVOTDATA("tip %",$AE$26,"time","Dinner"),GETPIVOTDATA("tip %",$AE$26,"time","Lunch")),IF(N126=$AA$33,GETPIVOTDATA("Average of tip %",$AA$32,"size",1),IF(N126=$AA$34,GETPIVOTDATA("Average of tip %",$AA$32,"size",2),IF(N126=$AA$35,GETPIVOTDATA("Average of tip %",$AA$32,"size",3),IF(N126=$AA$36,GETPIVOTDATA("Average of tip %",$AA$32,"size",4),IF(N126=$AA$37,GETPIVOTDATA("Average of tip %",$AA$32,"size",5),GETPIVOTDATA("Average of tip %",$AA$32,"size",6)))))))</f>
        <v>0.16084157908210489</v>
      </c>
      <c r="S126" s="14">
        <f t="shared" si="3"/>
        <v>2.9006768351253682</v>
      </c>
      <c r="T126" s="17">
        <f t="shared" si="4"/>
        <v>2.8774558497788565</v>
      </c>
      <c r="U126" s="12">
        <f t="shared" si="5"/>
        <v>2.8890663424521126</v>
      </c>
    </row>
    <row r="127" spans="1:21" x14ac:dyDescent="0.2">
      <c r="A127" t="s">
        <v>11</v>
      </c>
      <c r="B127" t="s">
        <v>8</v>
      </c>
      <c r="C127" t="s">
        <v>9</v>
      </c>
      <c r="D127" t="s">
        <v>10</v>
      </c>
      <c r="E127">
        <v>2</v>
      </c>
      <c r="F127">
        <v>18.29</v>
      </c>
      <c r="G127">
        <v>3</v>
      </c>
      <c r="H127" s="5">
        <f>G127/F127</f>
        <v>0.16402405686167304</v>
      </c>
      <c r="J127" s="16">
        <f>IF(A127="Male",0, 1)</f>
        <v>0</v>
      </c>
      <c r="K127" s="13">
        <f>IF(B127="No",0, 1)</f>
        <v>0</v>
      </c>
      <c r="L127" s="13">
        <f>IF(C127="Mon",1,IF(C127="Tues",2,IF(C127="Wed",3,IF(C127="Thur",4,IF(C127="Fri",5,IF(C127="Sat",6,7))))))</f>
        <v>7</v>
      </c>
      <c r="M127" s="13">
        <f>IF(D127="Lunch",0,1)</f>
        <v>1</v>
      </c>
      <c r="N127" s="13">
        <v>2</v>
      </c>
      <c r="O127" s="13">
        <v>17.920000000000002</v>
      </c>
      <c r="P127" s="13">
        <v>4.08</v>
      </c>
      <c r="Q127" s="15">
        <f>P127/O127</f>
        <v>0.22767857142857142</v>
      </c>
      <c r="R127" s="15">
        <f>AVERAGE(IF(A127="Female",GETPIVOTDATA("tip %",$W$26,"sex","Female"),GETPIVOTDATA("tip %",$W$26,"sex","Male")),IF(K127=0,GETPIVOTDATA("tip %",$AA$26,"smoker","No"),GETPIVOTDATA("tip %",$AA$26,"smoker","Yes")),IF(C127=$W$33,GETPIVOTDATA("tip %",$W$32,"day","Thur"),IF(C127=$W$34,GETPIVOTDATA("tip %",$W$32,"day","Fri"),IF(C127=$W$35,GETPIVOTDATA("tip %",$W$32,"day","Sat"),IF(C127=$W$36,GETPIVOTDATA("tip %",$W$32,"day","Sun"),GETPIVOTDATA("tip %",$W$32))))),IF(D127=$AE$27,GETPIVOTDATA("tip %",$AE$26,"time","Dinner"),GETPIVOTDATA("tip %",$AE$26,"time","Lunch")),IF(N127=$AA$33,GETPIVOTDATA("Average of tip %",$AA$32,"size",1),IF(N127=$AA$34,GETPIVOTDATA("Average of tip %",$AA$32,"size",2),IF(N127=$AA$35,GETPIVOTDATA("Average of tip %",$AA$32,"size",3),IF(N127=$AA$36,GETPIVOTDATA("Average of tip %",$AA$32,"size",4),IF(N127=$AA$37,GETPIVOTDATA("Average of tip %",$AA$32,"size",5),GETPIVOTDATA("Average of tip %",$AA$32,"size",6)))))))</f>
        <v>0.16182265520985073</v>
      </c>
      <c r="S127" s="14">
        <f t="shared" si="3"/>
        <v>3.0043163729662368</v>
      </c>
      <c r="T127" s="17">
        <f t="shared" si="4"/>
        <v>2.8998619813605253</v>
      </c>
      <c r="U127" s="12">
        <f t="shared" si="5"/>
        <v>2.9520891771633808</v>
      </c>
    </row>
    <row r="128" spans="1:21" x14ac:dyDescent="0.2">
      <c r="A128" t="s">
        <v>11</v>
      </c>
      <c r="B128" t="s">
        <v>8</v>
      </c>
      <c r="C128" t="s">
        <v>9</v>
      </c>
      <c r="D128" t="s">
        <v>10</v>
      </c>
      <c r="E128">
        <v>2</v>
      </c>
      <c r="F128">
        <v>18.04</v>
      </c>
      <c r="G128">
        <v>3</v>
      </c>
      <c r="H128" s="5">
        <f>G128/F128</f>
        <v>0.16629711751662973</v>
      </c>
      <c r="J128" s="16">
        <f>IF(A128="Male",0, 1)</f>
        <v>0</v>
      </c>
      <c r="K128" s="13">
        <f>IF(B128="No",0, 1)</f>
        <v>0</v>
      </c>
      <c r="L128" s="13">
        <f>IF(C128="Mon",1,IF(C128="Tues",2,IF(C128="Wed",3,IF(C128="Thur",4,IF(C128="Fri",5,IF(C128="Sat",6,7))))))</f>
        <v>7</v>
      </c>
      <c r="M128" s="13">
        <f>IF(D128="Lunch",0,1)</f>
        <v>1</v>
      </c>
      <c r="N128" s="13">
        <v>2</v>
      </c>
      <c r="O128" s="13">
        <v>17.920000000000002</v>
      </c>
      <c r="P128" s="13">
        <v>3.08</v>
      </c>
      <c r="Q128" s="15">
        <f>P128/O128</f>
        <v>0.171875</v>
      </c>
      <c r="R128" s="15">
        <f>AVERAGE(IF(A128="Female",GETPIVOTDATA("tip %",$W$26,"sex","Female"),GETPIVOTDATA("tip %",$W$26,"sex","Male")),IF(K128=0,GETPIVOTDATA("tip %",$AA$26,"smoker","No"),GETPIVOTDATA("tip %",$AA$26,"smoker","Yes")),IF(C128=$W$33,GETPIVOTDATA("tip %",$W$32,"day","Thur"),IF(C128=$W$34,GETPIVOTDATA("tip %",$W$32,"day","Fri"),IF(C128=$W$35,GETPIVOTDATA("tip %",$W$32,"day","Sat"),IF(C128=$W$36,GETPIVOTDATA("tip %",$W$32,"day","Sun"),GETPIVOTDATA("tip %",$W$32))))),IF(D128=$AE$27,GETPIVOTDATA("tip %",$AE$26,"time","Dinner"),GETPIVOTDATA("tip %",$AE$26,"time","Lunch")),IF(N128=$AA$33,GETPIVOTDATA("Average of tip %",$AA$32,"size",1),IF(N128=$AA$34,GETPIVOTDATA("Average of tip %",$AA$32,"size",2),IF(N128=$AA$35,GETPIVOTDATA("Average of tip %",$AA$32,"size",3),IF(N128=$AA$36,GETPIVOTDATA("Average of tip %",$AA$32,"size",4),IF(N128=$AA$37,GETPIVOTDATA("Average of tip %",$AA$32,"size",5),GETPIVOTDATA("Average of tip %",$AA$32,"size",6)))))))</f>
        <v>0.16182265520985073</v>
      </c>
      <c r="S128" s="14">
        <f t="shared" si="3"/>
        <v>3.0043163729662368</v>
      </c>
      <c r="T128" s="17">
        <f t="shared" si="4"/>
        <v>2.8998619813605253</v>
      </c>
      <c r="U128" s="12">
        <f t="shared" si="5"/>
        <v>2.9520891771633808</v>
      </c>
    </row>
    <row r="129" spans="1:21" x14ac:dyDescent="0.2">
      <c r="A129" t="s">
        <v>11</v>
      </c>
      <c r="B129" t="s">
        <v>8</v>
      </c>
      <c r="C129" t="s">
        <v>23</v>
      </c>
      <c r="D129" t="s">
        <v>24</v>
      </c>
      <c r="E129">
        <v>2</v>
      </c>
      <c r="F129">
        <v>22.76</v>
      </c>
      <c r="G129">
        <v>3</v>
      </c>
      <c r="H129" s="5">
        <f>G129/F129</f>
        <v>0.13181019332161686</v>
      </c>
      <c r="J129" s="16">
        <f>IF(A129="Male",0, 1)</f>
        <v>0</v>
      </c>
      <c r="K129" s="13">
        <f>IF(B129="No",0, 1)</f>
        <v>0</v>
      </c>
      <c r="L129" s="13">
        <f>IF(C129="Mon",1,IF(C129="Tues",2,IF(C129="Wed",3,IF(C129="Thur",4,IF(C129="Fri",5,IF(C129="Sat",6,7))))))</f>
        <v>4</v>
      </c>
      <c r="M129" s="13">
        <f>IF(D129="Lunch",0,1)</f>
        <v>0</v>
      </c>
      <c r="N129" s="13">
        <v>2</v>
      </c>
      <c r="O129" s="13">
        <v>18.04</v>
      </c>
      <c r="P129" s="13">
        <v>3</v>
      </c>
      <c r="Q129" s="15">
        <f>P129/O129</f>
        <v>0.16629711751662973</v>
      </c>
      <c r="R129" s="15">
        <f>AVERAGE(IF(A129="Female",GETPIVOTDATA("tip %",$W$26,"sex","Female"),GETPIVOTDATA("tip %",$W$26,"sex","Male")),IF(K129=0,GETPIVOTDATA("tip %",$AA$26,"smoker","No"),GETPIVOTDATA("tip %",$AA$26,"smoker","Yes")),IF(C129=$W$33,GETPIVOTDATA("tip %",$W$32,"day","Thur"),IF(C129=$W$34,GETPIVOTDATA("tip %",$W$32,"day","Fri"),IF(C129=$W$35,GETPIVOTDATA("tip %",$W$32,"day","Sat"),IF(C129=$W$36,GETPIVOTDATA("tip %",$W$32,"day","Sun"),GETPIVOTDATA("tip %",$W$32))))),IF(D129=$AE$27,GETPIVOTDATA("tip %",$AE$26,"time","Dinner"),GETPIVOTDATA("tip %",$AE$26,"time","Lunch")),IF(N129=$AA$33,GETPIVOTDATA("Average of tip %",$AA$32,"size",1),IF(N129=$AA$34,GETPIVOTDATA("Average of tip %",$AA$32,"size",2),IF(N129=$AA$35,GETPIVOTDATA("Average of tip %",$AA$32,"size",3),IF(N129=$AA$36,GETPIVOTDATA("Average of tip %",$AA$32,"size",4),IF(N129=$AA$37,GETPIVOTDATA("Average of tip %",$AA$32,"size",5),GETPIVOTDATA("Average of tip %",$AA$32,"size",6)))))))</f>
        <v>0.16162035260949875</v>
      </c>
      <c r="S129" s="14">
        <f t="shared" si="3"/>
        <v>2.8326639359071408</v>
      </c>
      <c r="T129" s="17">
        <f t="shared" si="4"/>
        <v>2.9156311610753574</v>
      </c>
      <c r="U129" s="12">
        <f t="shared" si="5"/>
        <v>2.8741475484912491</v>
      </c>
    </row>
    <row r="130" spans="1:21" x14ac:dyDescent="0.2">
      <c r="A130" t="s">
        <v>11</v>
      </c>
      <c r="B130" t="s">
        <v>22</v>
      </c>
      <c r="C130" t="s">
        <v>23</v>
      </c>
      <c r="D130" t="s">
        <v>24</v>
      </c>
      <c r="E130">
        <v>2</v>
      </c>
      <c r="F130">
        <v>19.440000000000001</v>
      </c>
      <c r="G130">
        <v>3</v>
      </c>
      <c r="H130" s="5">
        <f>G130/F130</f>
        <v>0.15432098765432098</v>
      </c>
      <c r="J130" s="16">
        <f>IF(A130="Male",0, 1)</f>
        <v>0</v>
      </c>
      <c r="K130" s="13">
        <f>IF(B130="No",0, 1)</f>
        <v>1</v>
      </c>
      <c r="L130" s="13">
        <f>IF(C130="Mon",1,IF(C130="Tues",2,IF(C130="Wed",3,IF(C130="Thur",4,IF(C130="Fri",5,IF(C130="Sat",6,7))))))</f>
        <v>4</v>
      </c>
      <c r="M130" s="13">
        <f>IF(D130="Lunch",0,1)</f>
        <v>0</v>
      </c>
      <c r="N130" s="13">
        <v>3</v>
      </c>
      <c r="O130" s="13">
        <v>18.149999999999999</v>
      </c>
      <c r="P130" s="13">
        <v>3.5</v>
      </c>
      <c r="Q130" s="15">
        <f>P130/O130</f>
        <v>0.1928374655647383</v>
      </c>
      <c r="R130" s="15">
        <f>AVERAGE(IF(A130="Female",GETPIVOTDATA("tip %",$W$26,"sex","Female"),GETPIVOTDATA("tip %",$W$26,"sex","Male")),IF(K130=0,GETPIVOTDATA("tip %",$AA$26,"smoker","No"),GETPIVOTDATA("tip %",$AA$26,"smoker","Yes")),IF(C130=$W$33,GETPIVOTDATA("tip %",$W$32,"day","Thur"),IF(C130=$W$34,GETPIVOTDATA("tip %",$W$32,"day","Fri"),IF(C130=$W$35,GETPIVOTDATA("tip %",$W$32,"day","Sat"),IF(C130=$W$36,GETPIVOTDATA("tip %",$W$32,"day","Sun"),GETPIVOTDATA("tip %",$W$32))))),IF(D130=$AE$27,GETPIVOTDATA("tip %",$AE$26,"time","Dinner"),GETPIVOTDATA("tip %",$AE$26,"time","Lunch")),IF(N130=$AA$33,GETPIVOTDATA("Average of tip %",$AA$32,"size",1),IF(N130=$AA$34,GETPIVOTDATA("Average of tip %",$AA$32,"size",2),IF(N130=$AA$35,GETPIVOTDATA("Average of tip %",$AA$32,"size",3),IF(N130=$AA$36,GETPIVOTDATA("Average of tip %",$AA$32,"size",4),IF(N130=$AA$37,GETPIVOTDATA("Average of tip %",$AA$32,"size",5),GETPIVOTDATA("Average of tip %",$AA$32,"size",6)))))))</f>
        <v>0.1596814017014892</v>
      </c>
      <c r="S130" s="14">
        <f t="shared" si="3"/>
        <v>2.836035010463859</v>
      </c>
      <c r="T130" s="17">
        <f t="shared" si="4"/>
        <v>2.8982174408820289</v>
      </c>
      <c r="U130" s="12">
        <f t="shared" si="5"/>
        <v>2.8671262256729442</v>
      </c>
    </row>
    <row r="131" spans="1:21" x14ac:dyDescent="0.2">
      <c r="A131" t="s">
        <v>11</v>
      </c>
      <c r="B131" t="s">
        <v>8</v>
      </c>
      <c r="C131" t="s">
        <v>23</v>
      </c>
      <c r="D131" t="s">
        <v>24</v>
      </c>
      <c r="E131">
        <v>2</v>
      </c>
      <c r="F131">
        <v>21.16</v>
      </c>
      <c r="G131">
        <v>3</v>
      </c>
      <c r="H131" s="5">
        <f>G131/F131</f>
        <v>0.14177693761814744</v>
      </c>
      <c r="J131" s="16">
        <f>IF(A131="Male",0, 1)</f>
        <v>0</v>
      </c>
      <c r="K131" s="13">
        <f>IF(B131="No",0, 1)</f>
        <v>0</v>
      </c>
      <c r="L131" s="13">
        <f>IF(C131="Mon",1,IF(C131="Tues",2,IF(C131="Wed",3,IF(C131="Thur",4,IF(C131="Fri",5,IF(C131="Sat",6,7))))))</f>
        <v>4</v>
      </c>
      <c r="M131" s="13">
        <f>IF(D131="Lunch",0,1)</f>
        <v>0</v>
      </c>
      <c r="N131" s="13">
        <v>2</v>
      </c>
      <c r="O131" s="13">
        <v>18.239999999999998</v>
      </c>
      <c r="P131" s="13">
        <v>3.76</v>
      </c>
      <c r="Q131" s="15">
        <f>P131/O131</f>
        <v>0.20614035087719298</v>
      </c>
      <c r="R131" s="15">
        <f>AVERAGE(IF(A131="Female",GETPIVOTDATA("tip %",$W$26,"sex","Female"),GETPIVOTDATA("tip %",$W$26,"sex","Male")),IF(K131=0,GETPIVOTDATA("tip %",$AA$26,"smoker","No"),GETPIVOTDATA("tip %",$AA$26,"smoker","Yes")),IF(C131=$W$33,GETPIVOTDATA("tip %",$W$32,"day","Thur"),IF(C131=$W$34,GETPIVOTDATA("tip %",$W$32,"day","Fri"),IF(C131=$W$35,GETPIVOTDATA("tip %",$W$32,"day","Sat"),IF(C131=$W$36,GETPIVOTDATA("tip %",$W$32,"day","Sun"),GETPIVOTDATA("tip %",$W$32))))),IF(D131=$AE$27,GETPIVOTDATA("tip %",$AE$26,"time","Dinner"),GETPIVOTDATA("tip %",$AE$26,"time","Lunch")),IF(N131=$AA$33,GETPIVOTDATA("Average of tip %",$AA$32,"size",1),IF(N131=$AA$34,GETPIVOTDATA("Average of tip %",$AA$32,"size",2),IF(N131=$AA$35,GETPIVOTDATA("Average of tip %",$AA$32,"size",3),IF(N131=$AA$36,GETPIVOTDATA("Average of tip %",$AA$32,"size",4),IF(N131=$AA$37,GETPIVOTDATA("Average of tip %",$AA$32,"size",5),GETPIVOTDATA("Average of tip %",$AA$32,"size",6)))))))</f>
        <v>0.16162035260949875</v>
      </c>
      <c r="S131" s="14">
        <f t="shared" ref="S131:S194" si="6">AVERAGE(IF(A131=$W$27,GETPIVOTDATA("Average of tip",$W$26,"sex","Female"),GETPIVOTDATA("Average of tip",$W$26,"sex","Male")),IF(B131=$AA$27,GETPIVOTDATA("Average of tip",$AA$26,"smoker","No"),GETPIVOTDATA("Average of tip",$AA$26,"smoker","Yes")),IF(C131=$W$33,GETPIVOTDATA("Average of tip",$W$32,"day","Thur"),IF(C131=$W$34,GETPIVOTDATA("Average of tip",$W$32,"day","Fri"),IF(C131=$W$35,GETPIVOTDATA("Average of tip",$W$32,"day","Sat"),GETPIVOTDATA("Average of tip",$W$32,"day","Sun")))),IF(D131=$AE$27,GETPIVOTDATA("Average of tip",$AE$26,"time","Dinner"),GETPIVOTDATA("Average of tip",$AE$26,"time","Lunch")),IF(E131=$AA$33,GETPIVOTDATA("Average of tip",$AA$32,"size",1),IF(E131=$AA$34,GETPIVOTDATA("Average of tip",$AA$32,"size",2),IF(E131=$AA$35,GETPIVOTDATA("Average of tip",$AA$32,"size",3),IF(E131=$AA$36,GETPIVOTDATA("Average of tip",$AA$32,"size",4),IF(E131=$AA$37,GETPIVOTDATA("Average of tip",$AA$32,"size",5),GETPIVOTDATA("Average of tip",$AA$32,"size",6)))))))</f>
        <v>2.8326639359071408</v>
      </c>
      <c r="T131" s="17">
        <f t="shared" ref="T131:T194" si="7">R131*O131</f>
        <v>2.9479552315972568</v>
      </c>
      <c r="U131" s="12">
        <f t="shared" ref="U131:U194" si="8">AVERAGE(S131,T131)</f>
        <v>2.8903095837521988</v>
      </c>
    </row>
    <row r="132" spans="1:21" x14ac:dyDescent="0.2">
      <c r="A132" t="s">
        <v>11</v>
      </c>
      <c r="B132" t="s">
        <v>22</v>
      </c>
      <c r="C132" t="s">
        <v>25</v>
      </c>
      <c r="D132" t="s">
        <v>10</v>
      </c>
      <c r="E132">
        <v>2</v>
      </c>
      <c r="F132">
        <v>28.97</v>
      </c>
      <c r="G132">
        <v>3</v>
      </c>
      <c r="H132" s="5">
        <f>G132/F132</f>
        <v>0.10355540214014498</v>
      </c>
      <c r="J132" s="16">
        <f>IF(A132="Male",0, 1)</f>
        <v>0</v>
      </c>
      <c r="K132" s="13">
        <f>IF(B132="No",0, 1)</f>
        <v>1</v>
      </c>
      <c r="L132" s="13">
        <f>IF(C132="Mon",1,IF(C132="Tues",2,IF(C132="Wed",3,IF(C132="Thur",4,IF(C132="Fri",5,IF(C132="Sat",6,7))))))</f>
        <v>5</v>
      </c>
      <c r="M132" s="13">
        <f>IF(D132="Lunch",0,1)</f>
        <v>1</v>
      </c>
      <c r="N132" s="13">
        <v>2</v>
      </c>
      <c r="O132" s="13">
        <v>18.260000000000002</v>
      </c>
      <c r="P132" s="13">
        <v>3.25</v>
      </c>
      <c r="Q132" s="15">
        <f>P132/O132</f>
        <v>0.17798466593647316</v>
      </c>
      <c r="R132" s="15">
        <f>AVERAGE(IF(A132="Female",GETPIVOTDATA("tip %",$W$26,"sex","Female"),GETPIVOTDATA("tip %",$W$26,"sex","Male")),IF(K132=0,GETPIVOTDATA("tip %",$AA$26,"smoker","No"),GETPIVOTDATA("tip %",$AA$26,"smoker","Yes")),IF(C132=$W$33,GETPIVOTDATA("tip %",$W$32,"day","Thur"),IF(C132=$W$34,GETPIVOTDATA("tip %",$W$32,"day","Fri"),IF(C132=$W$35,GETPIVOTDATA("tip %",$W$32,"day","Sat"),IF(C132=$W$36,GETPIVOTDATA("tip %",$W$32,"day","Sun"),GETPIVOTDATA("tip %",$W$32))))),IF(D132=$AE$27,GETPIVOTDATA("tip %",$AE$26,"time","Dinner"),GETPIVOTDATA("tip %",$AE$26,"time","Lunch")),IF(N132=$AA$33,GETPIVOTDATA("Average of tip %",$AA$32,"size",1),IF(N132=$AA$34,GETPIVOTDATA("Average of tip %",$AA$32,"size",2),IF(N132=$AA$35,GETPIVOTDATA("Average of tip %",$AA$32,"size",3),IF(N132=$AA$36,GETPIVOTDATA("Average of tip %",$AA$32,"size",4),IF(N132=$AA$37,GETPIVOTDATA("Average of tip %",$AA$32,"size",5),GETPIVOTDATA("Average of tip %",$AA$32,"size",6)))))))</f>
        <v>0.16319932017785216</v>
      </c>
      <c r="S132" s="14">
        <f t="shared" si="6"/>
        <v>2.903608500154534</v>
      </c>
      <c r="T132" s="17">
        <f t="shared" si="7"/>
        <v>2.9800195864475807</v>
      </c>
      <c r="U132" s="12">
        <f t="shared" si="8"/>
        <v>2.9418140433010573</v>
      </c>
    </row>
    <row r="133" spans="1:21" x14ac:dyDescent="0.2">
      <c r="A133" t="s">
        <v>11</v>
      </c>
      <c r="B133" t="s">
        <v>22</v>
      </c>
      <c r="C133" t="s">
        <v>25</v>
      </c>
      <c r="D133" t="s">
        <v>10</v>
      </c>
      <c r="E133">
        <v>2</v>
      </c>
      <c r="F133">
        <v>21.01</v>
      </c>
      <c r="G133">
        <v>3</v>
      </c>
      <c r="H133" s="5">
        <f>G133/F133</f>
        <v>0.1427891480247501</v>
      </c>
      <c r="J133" s="16">
        <f>IF(A133="Male",0, 1)</f>
        <v>0</v>
      </c>
      <c r="K133" s="13">
        <f>IF(B133="No",0, 1)</f>
        <v>1</v>
      </c>
      <c r="L133" s="13">
        <f>IF(C133="Mon",1,IF(C133="Tues",2,IF(C133="Wed",3,IF(C133="Thur",4,IF(C133="Fri",5,IF(C133="Sat",6,7))))))</f>
        <v>5</v>
      </c>
      <c r="M133" s="13">
        <f>IF(D133="Lunch",0,1)</f>
        <v>1</v>
      </c>
      <c r="N133" s="13">
        <v>2</v>
      </c>
      <c r="O133" s="13">
        <v>18.28</v>
      </c>
      <c r="P133" s="13">
        <v>4</v>
      </c>
      <c r="Q133" s="15">
        <f>P133/O133</f>
        <v>0.21881838074398249</v>
      </c>
      <c r="R133" s="15">
        <f>AVERAGE(IF(A133="Female",GETPIVOTDATA("tip %",$W$26,"sex","Female"),GETPIVOTDATA("tip %",$W$26,"sex","Male")),IF(K133=0,GETPIVOTDATA("tip %",$AA$26,"smoker","No"),GETPIVOTDATA("tip %",$AA$26,"smoker","Yes")),IF(C133=$W$33,GETPIVOTDATA("tip %",$W$32,"day","Thur"),IF(C133=$W$34,GETPIVOTDATA("tip %",$W$32,"day","Fri"),IF(C133=$W$35,GETPIVOTDATA("tip %",$W$32,"day","Sat"),IF(C133=$W$36,GETPIVOTDATA("tip %",$W$32,"day","Sun"),GETPIVOTDATA("tip %",$W$32))))),IF(D133=$AE$27,GETPIVOTDATA("tip %",$AE$26,"time","Dinner"),GETPIVOTDATA("tip %",$AE$26,"time","Lunch")),IF(N133=$AA$33,GETPIVOTDATA("Average of tip %",$AA$32,"size",1),IF(N133=$AA$34,GETPIVOTDATA("Average of tip %",$AA$32,"size",2),IF(N133=$AA$35,GETPIVOTDATA("Average of tip %",$AA$32,"size",3),IF(N133=$AA$36,GETPIVOTDATA("Average of tip %",$AA$32,"size",4),IF(N133=$AA$37,GETPIVOTDATA("Average of tip %",$AA$32,"size",5),GETPIVOTDATA("Average of tip %",$AA$32,"size",6)))))))</f>
        <v>0.16319932017785216</v>
      </c>
      <c r="S133" s="14">
        <f t="shared" si="6"/>
        <v>2.903608500154534</v>
      </c>
      <c r="T133" s="17">
        <f t="shared" si="7"/>
        <v>2.9832835728511378</v>
      </c>
      <c r="U133" s="12">
        <f t="shared" si="8"/>
        <v>2.9434460365028361</v>
      </c>
    </row>
    <row r="134" spans="1:21" x14ac:dyDescent="0.2">
      <c r="A134" t="s">
        <v>7</v>
      </c>
      <c r="B134" t="s">
        <v>22</v>
      </c>
      <c r="C134" t="s">
        <v>25</v>
      </c>
      <c r="D134" t="s">
        <v>10</v>
      </c>
      <c r="E134">
        <v>2</v>
      </c>
      <c r="F134">
        <v>15.38</v>
      </c>
      <c r="G134">
        <v>3</v>
      </c>
      <c r="H134" s="5">
        <f>G134/F134</f>
        <v>0.19505851755526657</v>
      </c>
      <c r="J134" s="16">
        <f>IF(A134="Male",0, 1)</f>
        <v>1</v>
      </c>
      <c r="K134" s="13">
        <f>IF(B134="No",0, 1)</f>
        <v>1</v>
      </c>
      <c r="L134" s="13">
        <f>IF(C134="Mon",1,IF(C134="Tues",2,IF(C134="Wed",3,IF(C134="Thur",4,IF(C134="Fri",5,IF(C134="Sat",6,7))))))</f>
        <v>5</v>
      </c>
      <c r="M134" s="13">
        <f>IF(D134="Lunch",0,1)</f>
        <v>1</v>
      </c>
      <c r="N134" s="13">
        <v>2</v>
      </c>
      <c r="O134" s="13">
        <v>18.29</v>
      </c>
      <c r="P134" s="13">
        <v>3</v>
      </c>
      <c r="Q134" s="15">
        <f>P134/O134</f>
        <v>0.16402405686167304</v>
      </c>
      <c r="R134" s="15">
        <f>AVERAGE(IF(A134="Female",GETPIVOTDATA("tip %",$W$26,"sex","Female"),GETPIVOTDATA("tip %",$W$26,"sex","Male")),IF(K134=0,GETPIVOTDATA("tip %",$AA$26,"smoker","No"),GETPIVOTDATA("tip %",$AA$26,"smoker","Yes")),IF(C134=$W$33,GETPIVOTDATA("tip %",$W$32,"day","Thur"),IF(C134=$W$34,GETPIVOTDATA("tip %",$W$32,"day","Fri"),IF(C134=$W$35,GETPIVOTDATA("tip %",$W$32,"day","Sat"),IF(C134=$W$36,GETPIVOTDATA("tip %",$W$32,"day","Sun"),GETPIVOTDATA("tip %",$W$32))))),IF(D134=$AE$27,GETPIVOTDATA("tip %",$AE$26,"time","Dinner"),GETPIVOTDATA("tip %",$AE$26,"time","Lunch")),IF(N134=$AA$33,GETPIVOTDATA("Average of tip %",$AA$32,"size",1),IF(N134=$AA$34,GETPIVOTDATA("Average of tip %",$AA$32,"size",2),IF(N134=$AA$35,GETPIVOTDATA("Average of tip %",$AA$32,"size",3),IF(N134=$AA$36,GETPIVOTDATA("Average of tip %",$AA$32,"size",4),IF(N134=$AA$37,GETPIVOTDATA("Average of tip %",$AA$32,"size",5),GETPIVOTDATA("Average of tip %",$AA$32,"size",6)))))))</f>
        <v>0.16496735804277757</v>
      </c>
      <c r="S134" s="14">
        <f t="shared" si="6"/>
        <v>2.8523745884479665</v>
      </c>
      <c r="T134" s="17">
        <f t="shared" si="7"/>
        <v>3.0172529786024014</v>
      </c>
      <c r="U134" s="12">
        <f t="shared" si="8"/>
        <v>2.934813783525184</v>
      </c>
    </row>
    <row r="135" spans="1:21" x14ac:dyDescent="0.2">
      <c r="A135" t="s">
        <v>11</v>
      </c>
      <c r="B135" t="s">
        <v>8</v>
      </c>
      <c r="C135" t="s">
        <v>21</v>
      </c>
      <c r="D135" t="s">
        <v>10</v>
      </c>
      <c r="E135">
        <v>2</v>
      </c>
      <c r="F135">
        <v>14</v>
      </c>
      <c r="G135">
        <v>3</v>
      </c>
      <c r="H135" s="5">
        <f>G135/F135</f>
        <v>0.21428571428571427</v>
      </c>
      <c r="J135" s="16">
        <f>IF(A135="Male",0, 1)</f>
        <v>0</v>
      </c>
      <c r="K135" s="13">
        <f>IF(B135="No",0, 1)</f>
        <v>0</v>
      </c>
      <c r="L135" s="13">
        <f>IF(C135="Mon",1,IF(C135="Tues",2,IF(C135="Wed",3,IF(C135="Thur",4,IF(C135="Fri",5,IF(C135="Sat",6,7))))))</f>
        <v>6</v>
      </c>
      <c r="M135" s="13">
        <f>IF(D135="Lunch",0,1)</f>
        <v>1</v>
      </c>
      <c r="N135" s="13">
        <v>4</v>
      </c>
      <c r="O135" s="13">
        <v>18.29</v>
      </c>
      <c r="P135" s="13">
        <v>3.76</v>
      </c>
      <c r="Q135" s="15">
        <f>P135/O135</f>
        <v>0.20557681793329688</v>
      </c>
      <c r="R135" s="15">
        <f>AVERAGE(IF(A135="Female",GETPIVOTDATA("tip %",$W$26,"sex","Female"),GETPIVOTDATA("tip %",$W$26,"sex","Male")),IF(K135=0,GETPIVOTDATA("tip %",$AA$26,"smoker","No"),GETPIVOTDATA("tip %",$AA$26,"smoker","Yes")),IF(C135=$W$33,GETPIVOTDATA("tip %",$W$32,"day","Thur"),IF(C135=$W$34,GETPIVOTDATA("tip %",$W$32,"day","Fri"),IF(C135=$W$35,GETPIVOTDATA("tip %",$W$32,"day","Sat"),IF(C135=$W$36,GETPIVOTDATA("tip %",$W$32,"day","Sun"),GETPIVOTDATA("tip %",$W$32))))),IF(D135=$AE$27,GETPIVOTDATA("tip %",$AE$26,"time","Dinner"),GETPIVOTDATA("tip %",$AE$26,"time","Lunch")),IF(N135=$AA$33,GETPIVOTDATA("Average of tip %",$AA$32,"size",1),IF(N135=$AA$34,GETPIVOTDATA("Average of tip %",$AA$32,"size",2),IF(N135=$AA$35,GETPIVOTDATA("Average of tip %",$AA$32,"size",3),IF(N135=$AA$36,GETPIVOTDATA("Average of tip %",$AA$32,"size",4),IF(N135=$AA$37,GETPIVOTDATA("Average of tip %",$AA$32,"size",5),GETPIVOTDATA("Average of tip %",$AA$32,"size",6)))))))</f>
        <v>0.15511950414891634</v>
      </c>
      <c r="S135" s="14">
        <f t="shared" si="6"/>
        <v>2.9519107468319357</v>
      </c>
      <c r="T135" s="17">
        <f t="shared" si="7"/>
        <v>2.8371357308836798</v>
      </c>
      <c r="U135" s="12">
        <f t="shared" si="8"/>
        <v>2.8945232388578077</v>
      </c>
    </row>
    <row r="136" spans="1:21" x14ac:dyDescent="0.2">
      <c r="A136" t="s">
        <v>7</v>
      </c>
      <c r="B136" t="s">
        <v>22</v>
      </c>
      <c r="C136" t="s">
        <v>9</v>
      </c>
      <c r="D136" t="s">
        <v>10</v>
      </c>
      <c r="E136">
        <v>2</v>
      </c>
      <c r="F136">
        <v>17.510000000000002</v>
      </c>
      <c r="G136">
        <v>3</v>
      </c>
      <c r="H136" s="5">
        <f>G136/F136</f>
        <v>0.17133066818960593</v>
      </c>
      <c r="J136" s="16">
        <f>IF(A136="Male",0, 1)</f>
        <v>1</v>
      </c>
      <c r="K136" s="13">
        <f>IF(B136="No",0, 1)</f>
        <v>1</v>
      </c>
      <c r="L136" s="13">
        <f>IF(C136="Mon",1,IF(C136="Tues",2,IF(C136="Wed",3,IF(C136="Thur",4,IF(C136="Fri",5,IF(C136="Sat",6,7))))))</f>
        <v>7</v>
      </c>
      <c r="M136" s="13">
        <f>IF(D136="Lunch",0,1)</f>
        <v>1</v>
      </c>
      <c r="N136" s="13">
        <v>4</v>
      </c>
      <c r="O136" s="13">
        <v>18.350000000000001</v>
      </c>
      <c r="P136" s="13">
        <v>2.5</v>
      </c>
      <c r="Q136" s="15">
        <f>P136/O136</f>
        <v>0.13623978201634876</v>
      </c>
      <c r="R136" s="15">
        <f>AVERAGE(IF(A136="Female",GETPIVOTDATA("tip %",$W$26,"sex","Female"),GETPIVOTDATA("tip %",$W$26,"sex","Male")),IF(K136=0,GETPIVOTDATA("tip %",$AA$26,"smoker","No"),GETPIVOTDATA("tip %",$AA$26,"smoker","Yes")),IF(C136=$W$33,GETPIVOTDATA("tip %",$W$32,"day","Thur"),IF(C136=$W$34,GETPIVOTDATA("tip %",$W$32,"day","Fri"),IF(C136=$W$35,GETPIVOTDATA("tip %",$W$32,"day","Sat"),IF(C136=$W$36,GETPIVOTDATA("tip %",$W$32,"day","Sun"),GETPIVOTDATA("tip %",$W$32))))),IF(D136=$AE$27,GETPIVOTDATA("tip %",$AE$26,"time","Dinner"),GETPIVOTDATA("tip %",$AE$26,"time","Lunch")),IF(N136=$AA$33,GETPIVOTDATA("Average of tip %",$AA$32,"size",1),IF(N136=$AA$34,GETPIVOTDATA("Average of tip %",$AA$32,"size",2),IF(N136=$AA$35,GETPIVOTDATA("Average of tip %",$AA$32,"size",3),IF(N136=$AA$36,GETPIVOTDATA("Average of tip %",$AA$32,"size",4),IF(N136=$AA$37,GETPIVOTDATA("Average of tip %",$AA$32,"size",5),GETPIVOTDATA("Average of tip %",$AA$32,"size",6)))))))</f>
        <v>0.16041017249804559</v>
      </c>
      <c r="S136" s="14">
        <f t="shared" si="6"/>
        <v>2.9564535358163879</v>
      </c>
      <c r="T136" s="17">
        <f t="shared" si="7"/>
        <v>2.943526665339137</v>
      </c>
      <c r="U136" s="12">
        <f t="shared" si="8"/>
        <v>2.9499901005777627</v>
      </c>
    </row>
    <row r="137" spans="1:21" x14ac:dyDescent="0.2">
      <c r="A137" t="s">
        <v>11</v>
      </c>
      <c r="B137" t="s">
        <v>22</v>
      </c>
      <c r="C137" t="s">
        <v>9</v>
      </c>
      <c r="D137" t="s">
        <v>10</v>
      </c>
      <c r="E137">
        <v>2</v>
      </c>
      <c r="F137">
        <v>40.549999999999997</v>
      </c>
      <c r="G137">
        <v>3</v>
      </c>
      <c r="H137" s="5">
        <f>G137/F137</f>
        <v>7.3982737361282372E-2</v>
      </c>
      <c r="J137" s="16">
        <f>IF(A137="Male",0, 1)</f>
        <v>0</v>
      </c>
      <c r="K137" s="13">
        <f>IF(B137="No",0, 1)</f>
        <v>1</v>
      </c>
      <c r="L137" s="13">
        <f>IF(C137="Mon",1,IF(C137="Tues",2,IF(C137="Wed",3,IF(C137="Thur",4,IF(C137="Fri",5,IF(C137="Sat",6,7))))))</f>
        <v>7</v>
      </c>
      <c r="M137" s="13">
        <f>IF(D137="Lunch",0,1)</f>
        <v>1</v>
      </c>
      <c r="N137" s="13">
        <v>4</v>
      </c>
      <c r="O137" s="13">
        <v>18.43</v>
      </c>
      <c r="P137" s="13">
        <v>3</v>
      </c>
      <c r="Q137" s="15">
        <f>P137/O137</f>
        <v>0.16277807921866522</v>
      </c>
      <c r="R137" s="15">
        <f>AVERAGE(IF(A137="Female",GETPIVOTDATA("tip %",$W$26,"sex","Female"),GETPIVOTDATA("tip %",$W$26,"sex","Male")),IF(K137=0,GETPIVOTDATA("tip %",$AA$26,"smoker","No"),GETPIVOTDATA("tip %",$AA$26,"smoker","Yes")),IF(C137=$W$33,GETPIVOTDATA("tip %",$W$32,"day","Thur"),IF(C137=$W$34,GETPIVOTDATA("tip %",$W$32,"day","Fri"),IF(C137=$W$35,GETPIVOTDATA("tip %",$W$32,"day","Sat"),IF(C137=$W$36,GETPIVOTDATA("tip %",$W$32,"day","Sun"),GETPIVOTDATA("tip %",$W$32))))),IF(D137=$AE$27,GETPIVOTDATA("tip %",$AE$26,"time","Dinner"),GETPIVOTDATA("tip %",$AE$26,"time","Lunch")),IF(N137=$AA$33,GETPIVOTDATA("Average of tip %",$AA$32,"size",1),IF(N137=$AA$34,GETPIVOTDATA("Average of tip %",$AA$32,"size",2),IF(N137=$AA$35,GETPIVOTDATA("Average of tip %",$AA$32,"size",3),IF(N137=$AA$36,GETPIVOTDATA("Average of tip %",$AA$32,"size",4),IF(N137=$AA$37,GETPIVOTDATA("Average of tip %",$AA$32,"size",5),GETPIVOTDATA("Average of tip %",$AA$32,"size",6)))))))</f>
        <v>0.15864213463312013</v>
      </c>
      <c r="S137" s="14">
        <f t="shared" si="6"/>
        <v>3.0076874475229554</v>
      </c>
      <c r="T137" s="17">
        <f t="shared" si="7"/>
        <v>2.9237745412884037</v>
      </c>
      <c r="U137" s="12">
        <f t="shared" si="8"/>
        <v>2.9657309944056793</v>
      </c>
    </row>
    <row r="138" spans="1:21" x14ac:dyDescent="0.2">
      <c r="A138" t="s">
        <v>11</v>
      </c>
      <c r="B138" t="s">
        <v>22</v>
      </c>
      <c r="C138" t="s">
        <v>21</v>
      </c>
      <c r="D138" t="s">
        <v>10</v>
      </c>
      <c r="E138">
        <v>2</v>
      </c>
      <c r="F138">
        <v>15.53</v>
      </c>
      <c r="G138">
        <v>3</v>
      </c>
      <c r="H138" s="5">
        <f>G138/F138</f>
        <v>0.19317450096587252</v>
      </c>
      <c r="J138" s="16">
        <f>IF(A138="Male",0, 1)</f>
        <v>0</v>
      </c>
      <c r="K138" s="13">
        <f>IF(B138="No",0, 1)</f>
        <v>1</v>
      </c>
      <c r="L138" s="13">
        <f>IF(C138="Mon",1,IF(C138="Tues",2,IF(C138="Wed",3,IF(C138="Thur",4,IF(C138="Fri",5,IF(C138="Sat",6,7))))))</f>
        <v>6</v>
      </c>
      <c r="M138" s="13">
        <f>IF(D138="Lunch",0,1)</f>
        <v>1</v>
      </c>
      <c r="N138" s="13">
        <v>3</v>
      </c>
      <c r="O138" s="13">
        <v>18.64</v>
      </c>
      <c r="P138" s="13">
        <v>1.36</v>
      </c>
      <c r="Q138" s="15">
        <f>P138/O138</f>
        <v>7.2961373390557943E-2</v>
      </c>
      <c r="R138" s="15">
        <f>AVERAGE(IF(A138="Female",GETPIVOTDATA("tip %",$W$26,"sex","Female"),GETPIVOTDATA("tip %",$W$26,"sex","Male")),IF(K138=0,GETPIVOTDATA("tip %",$AA$26,"smoker","No"),GETPIVOTDATA("tip %",$AA$26,"smoker","Yes")),IF(C138=$W$33,GETPIVOTDATA("tip %",$W$32,"day","Thur"),IF(C138=$W$34,GETPIVOTDATA("tip %",$W$32,"day","Fri"),IF(C138=$W$35,GETPIVOTDATA("tip %",$W$32,"day","Sat"),IF(C138=$W$36,GETPIVOTDATA("tip %",$W$32,"day","Sun"),GETPIVOTDATA("tip %",$W$32))))),IF(D138=$AE$27,GETPIVOTDATA("tip %",$AE$26,"time","Dinner"),GETPIVOTDATA("tip %",$AE$26,"time","Lunch")),IF(N138=$AA$33,GETPIVOTDATA("Average of tip %",$AA$32,"size",1),IF(N138=$AA$34,GETPIVOTDATA("Average of tip %",$AA$32,"size",2),IF(N138=$AA$35,GETPIVOTDATA("Average of tip %",$AA$32,"size",3),IF(N138=$AA$36,GETPIVOTDATA("Average of tip %",$AA$32,"size",4),IF(N138=$AA$37,GETPIVOTDATA("Average of tip %",$AA$32,"size",5),GETPIVOTDATA("Average of tip %",$AA$32,"size",6)))))))</f>
        <v>0.15713459030916987</v>
      </c>
      <c r="S138" s="14">
        <f t="shared" si="6"/>
        <v>2.9552818213886538</v>
      </c>
      <c r="T138" s="17">
        <f t="shared" si="7"/>
        <v>2.9289887633629266</v>
      </c>
      <c r="U138" s="12">
        <f t="shared" si="8"/>
        <v>2.9421352923757902</v>
      </c>
    </row>
    <row r="139" spans="1:21" x14ac:dyDescent="0.2">
      <c r="A139" t="s">
        <v>7</v>
      </c>
      <c r="B139" t="s">
        <v>8</v>
      </c>
      <c r="C139" t="s">
        <v>23</v>
      </c>
      <c r="D139" t="s">
        <v>10</v>
      </c>
      <c r="E139">
        <v>2</v>
      </c>
      <c r="F139">
        <v>18.78</v>
      </c>
      <c r="G139">
        <v>3</v>
      </c>
      <c r="H139" s="5">
        <f>G139/F139</f>
        <v>0.15974440894568689</v>
      </c>
      <c r="J139" s="16">
        <f>IF(A139="Male",0, 1)</f>
        <v>1</v>
      </c>
      <c r="K139" s="13">
        <f>IF(B139="No",0, 1)</f>
        <v>0</v>
      </c>
      <c r="L139" s="13">
        <f>IF(C139="Mon",1,IF(C139="Tues",2,IF(C139="Wed",3,IF(C139="Thur",4,IF(C139="Fri",5,IF(C139="Sat",6,7))))))</f>
        <v>4</v>
      </c>
      <c r="M139" s="13">
        <f>IF(D139="Lunch",0,1)</f>
        <v>1</v>
      </c>
      <c r="N139" s="13">
        <v>3</v>
      </c>
      <c r="O139" s="13">
        <v>18.690000000000001</v>
      </c>
      <c r="P139" s="13">
        <v>2.31</v>
      </c>
      <c r="Q139" s="15">
        <f>P139/O139</f>
        <v>0.12359550561797752</v>
      </c>
      <c r="R139" s="15">
        <f>AVERAGE(IF(A139="Female",GETPIVOTDATA("tip %",$W$26,"sex","Female"),GETPIVOTDATA("tip %",$W$26,"sex","Male")),IF(K139=0,GETPIVOTDATA("tip %",$AA$26,"smoker","No"),GETPIVOTDATA("tip %",$AA$26,"smoker","Yes")),IF(C139=$W$33,GETPIVOTDATA("tip %",$W$32,"day","Thur"),IF(C139=$W$34,GETPIVOTDATA("tip %",$W$32,"day","Fri"),IF(C139=$W$35,GETPIVOTDATA("tip %",$W$32,"day","Sat"),IF(C139=$W$36,GETPIVOTDATA("tip %",$W$32,"day","Sun"),GETPIVOTDATA("tip %",$W$32))))),IF(D139=$AE$27,GETPIVOTDATA("tip %",$AE$26,"time","Dinner"),GETPIVOTDATA("tip %",$AE$26,"time","Lunch")),IF(N139=$AA$33,GETPIVOTDATA("Average of tip %",$AA$32,"size",1),IF(N139=$AA$34,GETPIVOTDATA("Average of tip %",$AA$32,"size",2),IF(N139=$AA$35,GETPIVOTDATA("Average of tip %",$AA$32,"size",3),IF(N139=$AA$36,GETPIVOTDATA("Average of tip %",$AA$32,"size",4),IF(N139=$AA$37,GETPIVOTDATA("Average of tip %",$AA$32,"size",5),GETPIVOTDATA("Average of tip %",$AA$32,"size",6)))))))</f>
        <v>0.15975389519833655</v>
      </c>
      <c r="S139" s="14">
        <f t="shared" si="6"/>
        <v>2.856346468050841</v>
      </c>
      <c r="T139" s="17">
        <f t="shared" si="7"/>
        <v>2.9858003012569103</v>
      </c>
      <c r="U139" s="12">
        <f t="shared" si="8"/>
        <v>2.9210733846538757</v>
      </c>
    </row>
    <row r="140" spans="1:21" x14ac:dyDescent="0.2">
      <c r="A140" t="s">
        <v>7</v>
      </c>
      <c r="B140" t="s">
        <v>8</v>
      </c>
      <c r="C140" t="s">
        <v>21</v>
      </c>
      <c r="D140" t="s">
        <v>10</v>
      </c>
      <c r="E140">
        <v>3</v>
      </c>
      <c r="F140">
        <v>17.07</v>
      </c>
      <c r="G140">
        <v>3</v>
      </c>
      <c r="H140" s="5">
        <f>G140/F140</f>
        <v>0.1757469244288225</v>
      </c>
      <c r="J140" s="16">
        <f>IF(A140="Male",0, 1)</f>
        <v>1</v>
      </c>
      <c r="K140" s="13">
        <f>IF(B140="No",0, 1)</f>
        <v>0</v>
      </c>
      <c r="L140" s="13">
        <f>IF(C140="Mon",1,IF(C140="Tues",2,IF(C140="Wed",3,IF(C140="Thur",4,IF(C140="Fri",5,IF(C140="Sat",6,7))))))</f>
        <v>6</v>
      </c>
      <c r="M140" s="13">
        <f>IF(D140="Lunch",0,1)</f>
        <v>1</v>
      </c>
      <c r="N140" s="13">
        <v>3</v>
      </c>
      <c r="O140" s="13">
        <v>18.71</v>
      </c>
      <c r="P140" s="13">
        <v>4</v>
      </c>
      <c r="Q140" s="15">
        <f>P140/O140</f>
        <v>0.2137894174238375</v>
      </c>
      <c r="R140" s="15">
        <f>AVERAGE(IF(A140="Female",GETPIVOTDATA("tip %",$W$26,"sex","Female"),GETPIVOTDATA("tip %",$W$26,"sex","Male")),IF(K140=0,GETPIVOTDATA("tip %",$AA$26,"smoker","No"),GETPIVOTDATA("tip %",$AA$26,"smoker","Yes")),IF(C140=$W$33,GETPIVOTDATA("tip %",$W$32,"day","Thur"),IF(C140=$W$34,GETPIVOTDATA("tip %",$W$32,"day","Fri"),IF(C140=$W$35,GETPIVOTDATA("tip %",$W$32,"day","Sat"),IF(C140=$W$36,GETPIVOTDATA("tip %",$W$32,"day","Sun"),GETPIVOTDATA("tip %",$W$32))))),IF(D140=$AE$27,GETPIVOTDATA("tip %",$AE$26,"time","Dinner"),GETPIVOTDATA("tip %",$AE$26,"time","Lunch")),IF(N140=$AA$33,GETPIVOTDATA("Average of tip %",$AA$32,"size",1),IF(N140=$AA$34,GETPIVOTDATA("Average of tip %",$AA$32,"size",2),IF(N140=$AA$35,GETPIVOTDATA("Average of tip %",$AA$32,"size",3),IF(N140=$AA$36,GETPIVOTDATA("Average of tip %",$AA$32,"size",4),IF(N140=$AA$37,GETPIVOTDATA("Average of tip %",$AA$32,"size",5),GETPIVOTDATA("Average of tip %",$AA$32,"size",6)))))))</f>
        <v>0.15812911168256277</v>
      </c>
      <c r="S140" s="14">
        <f t="shared" si="6"/>
        <v>3.0628468756111977</v>
      </c>
      <c r="T140" s="17">
        <f t="shared" si="7"/>
        <v>2.9585956795807498</v>
      </c>
      <c r="U140" s="12">
        <f t="shared" si="8"/>
        <v>3.010721277595974</v>
      </c>
    </row>
    <row r="141" spans="1:21" x14ac:dyDescent="0.2">
      <c r="A141" t="s">
        <v>7</v>
      </c>
      <c r="B141" t="s">
        <v>8</v>
      </c>
      <c r="C141" t="s">
        <v>25</v>
      </c>
      <c r="D141" t="s">
        <v>24</v>
      </c>
      <c r="E141">
        <v>3</v>
      </c>
      <c r="F141">
        <v>15.98</v>
      </c>
      <c r="G141">
        <v>3</v>
      </c>
      <c r="H141" s="5">
        <f>G141/F141</f>
        <v>0.18773466833541927</v>
      </c>
      <c r="J141" s="16">
        <f>IF(A141="Male",0, 1)</f>
        <v>1</v>
      </c>
      <c r="K141" s="13">
        <f>IF(B141="No",0, 1)</f>
        <v>0</v>
      </c>
      <c r="L141" s="13">
        <f>IF(C141="Mon",1,IF(C141="Tues",2,IF(C141="Wed",3,IF(C141="Thur",4,IF(C141="Fri",5,IF(C141="Sat",6,7))))))</f>
        <v>5</v>
      </c>
      <c r="M141" s="13">
        <f>IF(D141="Lunch",0,1)</f>
        <v>0</v>
      </c>
      <c r="N141" s="13">
        <v>2</v>
      </c>
      <c r="O141" s="13">
        <v>18.78</v>
      </c>
      <c r="P141" s="13">
        <v>3</v>
      </c>
      <c r="Q141" s="15">
        <f>P141/O141</f>
        <v>0.15974440894568689</v>
      </c>
      <c r="R141" s="15">
        <f>AVERAGE(IF(A141="Female",GETPIVOTDATA("tip %",$W$26,"sex","Female"),GETPIVOTDATA("tip %",$W$26,"sex","Male")),IF(K141=0,GETPIVOTDATA("tip %",$AA$26,"smoker","No"),GETPIVOTDATA("tip %",$AA$26,"smoker","Yes")),IF(C141=$W$33,GETPIVOTDATA("tip %",$W$32,"day","Thur"),IF(C141=$W$34,GETPIVOTDATA("tip %",$W$32,"day","Fri"),IF(C141=$W$35,GETPIVOTDATA("tip %",$W$32,"day","Sat"),IF(C141=$W$36,GETPIVOTDATA("tip %",$W$32,"day","Sun"),GETPIVOTDATA("tip %",$W$32))))),IF(D141=$AE$27,GETPIVOTDATA("tip %",$AE$26,"time","Dinner"),GETPIVOTDATA("tip %",$AE$26,"time","Lunch")),IF(N141=$AA$33,GETPIVOTDATA("Average of tip %",$AA$32,"size",1),IF(N141=$AA$34,GETPIVOTDATA("Average of tip %",$AA$32,"size",2),IF(N141=$AA$35,GETPIVOTDATA("Average of tip %",$AA$32,"size",3),IF(N141=$AA$36,GETPIVOTDATA("Average of tip %",$AA$32,"size",4),IF(N141=$AA$37,GETPIVOTDATA("Average of tip %",$AA$32,"size",5),GETPIVOTDATA("Average of tip %",$AA$32,"size",6)))))))</f>
        <v>0.16511586942779055</v>
      </c>
      <c r="S141" s="14">
        <f t="shared" si="6"/>
        <v>2.9362571105268107</v>
      </c>
      <c r="T141" s="17">
        <f t="shared" si="7"/>
        <v>3.1008760278539067</v>
      </c>
      <c r="U141" s="12">
        <f t="shared" si="8"/>
        <v>3.0185665691903587</v>
      </c>
    </row>
    <row r="142" spans="1:21" x14ac:dyDescent="0.2">
      <c r="A142" t="s">
        <v>11</v>
      </c>
      <c r="B142" t="s">
        <v>22</v>
      </c>
      <c r="C142" t="s">
        <v>21</v>
      </c>
      <c r="D142" t="s">
        <v>10</v>
      </c>
      <c r="E142">
        <v>3</v>
      </c>
      <c r="F142">
        <v>15.69</v>
      </c>
      <c r="G142">
        <v>3</v>
      </c>
      <c r="H142" s="5">
        <f>G142/F142</f>
        <v>0.19120458891013384</v>
      </c>
      <c r="J142" s="16">
        <f>IF(A142="Male",0, 1)</f>
        <v>0</v>
      </c>
      <c r="K142" s="13">
        <f>IF(B142="No",0, 1)</f>
        <v>1</v>
      </c>
      <c r="L142" s="13">
        <f>IF(C142="Mon",1,IF(C142="Tues",2,IF(C142="Wed",3,IF(C142="Thur",4,IF(C142="Fri",5,IF(C142="Sat",6,7))))))</f>
        <v>6</v>
      </c>
      <c r="M142" s="13">
        <f>IF(D142="Lunch",0,1)</f>
        <v>1</v>
      </c>
      <c r="N142" s="13">
        <v>2</v>
      </c>
      <c r="O142" s="13">
        <v>19.079999999999998</v>
      </c>
      <c r="P142" s="13">
        <v>1.5</v>
      </c>
      <c r="Q142" s="15">
        <f>P142/O142</f>
        <v>7.8616352201257872E-2</v>
      </c>
      <c r="R142" s="15">
        <f>AVERAGE(IF(A142="Female",GETPIVOTDATA("tip %",$W$26,"sex","Female"),GETPIVOTDATA("tip %",$W$26,"sex","Male")),IF(K142=0,GETPIVOTDATA("tip %",$AA$26,"smoker","No"),GETPIVOTDATA("tip %",$AA$26,"smoker","Yes")),IF(C142=$W$33,GETPIVOTDATA("tip %",$W$32,"day","Thur"),IF(C142=$W$34,GETPIVOTDATA("tip %",$W$32,"day","Fri"),IF(C142=$W$35,GETPIVOTDATA("tip %",$W$32,"day","Sat"),IF(C142=$W$36,GETPIVOTDATA("tip %",$W$32,"day","Sun"),GETPIVOTDATA("tip %",$W$32))))),IF(D142=$AE$27,GETPIVOTDATA("tip %",$AE$26,"time","Dinner"),GETPIVOTDATA("tip %",$AE$26,"time","Lunch")),IF(N142=$AA$33,GETPIVOTDATA("Average of tip %",$AA$32,"size",1),IF(N142=$AA$34,GETPIVOTDATA("Average of tip %",$AA$32,"size",2),IF(N142=$AA$35,GETPIVOTDATA("Average of tip %",$AA$32,"size",3),IF(N142=$AA$36,GETPIVOTDATA("Average of tip %",$AA$32,"size",4),IF(N142=$AA$37,GETPIVOTDATA("Average of tip %",$AA$32,"size",5),GETPIVOTDATA("Average of tip %",$AA$32,"size",6)))))))</f>
        <v>0.15984705770871196</v>
      </c>
      <c r="S142" s="14">
        <f t="shared" si="6"/>
        <v>3.1174518618744838</v>
      </c>
      <c r="T142" s="17">
        <f t="shared" si="7"/>
        <v>3.0498818610822238</v>
      </c>
      <c r="U142" s="12">
        <f t="shared" si="8"/>
        <v>3.0836668614783536</v>
      </c>
    </row>
    <row r="143" spans="1:21" x14ac:dyDescent="0.2">
      <c r="A143" t="s">
        <v>11</v>
      </c>
      <c r="B143" t="s">
        <v>8</v>
      </c>
      <c r="C143" t="s">
        <v>9</v>
      </c>
      <c r="D143" t="s">
        <v>10</v>
      </c>
      <c r="E143">
        <v>4</v>
      </c>
      <c r="F143">
        <v>18.43</v>
      </c>
      <c r="G143">
        <v>3</v>
      </c>
      <c r="H143" s="5">
        <f>G143/F143</f>
        <v>0.16277807921866522</v>
      </c>
      <c r="J143" s="16">
        <f>IF(A143="Male",0, 1)</f>
        <v>0</v>
      </c>
      <c r="K143" s="13">
        <f>IF(B143="No",0, 1)</f>
        <v>0</v>
      </c>
      <c r="L143" s="13">
        <f>IF(C143="Mon",1,IF(C143="Tues",2,IF(C143="Wed",3,IF(C143="Thur",4,IF(C143="Fri",5,IF(C143="Sat",6,7))))))</f>
        <v>7</v>
      </c>
      <c r="M143" s="13">
        <f>IF(D143="Lunch",0,1)</f>
        <v>1</v>
      </c>
      <c r="N143" s="13">
        <v>2</v>
      </c>
      <c r="O143" s="13">
        <v>19.440000000000001</v>
      </c>
      <c r="P143" s="13">
        <v>3</v>
      </c>
      <c r="Q143" s="15">
        <f>P143/O143</f>
        <v>0.15432098765432098</v>
      </c>
      <c r="R143" s="15">
        <f>AVERAGE(IF(A143="Female",GETPIVOTDATA("tip %",$W$26,"sex","Female"),GETPIVOTDATA("tip %",$W$26,"sex","Male")),IF(K143=0,GETPIVOTDATA("tip %",$AA$26,"smoker","No"),GETPIVOTDATA("tip %",$AA$26,"smoker","Yes")),IF(C143=$W$33,GETPIVOTDATA("tip %",$W$32,"day","Thur"),IF(C143=$W$34,GETPIVOTDATA("tip %",$W$32,"day","Fri"),IF(C143=$W$35,GETPIVOTDATA("tip %",$W$32,"day","Sat"),IF(C143=$W$36,GETPIVOTDATA("tip %",$W$32,"day","Sun"),GETPIVOTDATA("tip %",$W$32))))),IF(D143=$AE$27,GETPIVOTDATA("tip %",$AE$26,"time","Dinner"),GETPIVOTDATA("tip %",$AE$26,"time","Lunch")),IF(N143=$AA$33,GETPIVOTDATA("Average of tip %",$AA$32,"size",1),IF(N143=$AA$34,GETPIVOTDATA("Average of tip %",$AA$32,"size",2),IF(N143=$AA$35,GETPIVOTDATA("Average of tip %",$AA$32,"size",3),IF(N143=$AA$36,GETPIVOTDATA("Average of tip %",$AA$32,"size",4),IF(N143=$AA$37,GETPIVOTDATA("Average of tip %",$AA$32,"size",5),GETPIVOTDATA("Average of tip %",$AA$32,"size",6)))))))</f>
        <v>0.16182265520985073</v>
      </c>
      <c r="S143" s="14">
        <f t="shared" si="6"/>
        <v>3.3149359155857794</v>
      </c>
      <c r="T143" s="17">
        <f t="shared" si="7"/>
        <v>3.1458324172794985</v>
      </c>
      <c r="U143" s="12">
        <f t="shared" si="8"/>
        <v>3.2303841664326391</v>
      </c>
    </row>
    <row r="144" spans="1:21" x14ac:dyDescent="0.2">
      <c r="A144" t="s">
        <v>11</v>
      </c>
      <c r="B144" t="s">
        <v>22</v>
      </c>
      <c r="C144" t="s">
        <v>21</v>
      </c>
      <c r="D144" t="s">
        <v>10</v>
      </c>
      <c r="E144">
        <v>4</v>
      </c>
      <c r="F144">
        <v>38.01</v>
      </c>
      <c r="G144">
        <v>3</v>
      </c>
      <c r="H144" s="5">
        <f>G144/F144</f>
        <v>7.8926598263614839E-2</v>
      </c>
      <c r="J144" s="16">
        <f>IF(A144="Male",0, 1)</f>
        <v>0</v>
      </c>
      <c r="K144" s="13">
        <f>IF(B144="No",0, 1)</f>
        <v>1</v>
      </c>
      <c r="L144" s="13">
        <f>IF(C144="Mon",1,IF(C144="Tues",2,IF(C144="Wed",3,IF(C144="Thur",4,IF(C144="Fri",5,IF(C144="Sat",6,7))))))</f>
        <v>6</v>
      </c>
      <c r="M144" s="13">
        <f>IF(D144="Lunch",0,1)</f>
        <v>1</v>
      </c>
      <c r="N144" s="13">
        <v>2</v>
      </c>
      <c r="O144" s="13">
        <v>19.489999999999998</v>
      </c>
      <c r="P144" s="13">
        <v>3.51</v>
      </c>
      <c r="Q144" s="15">
        <f>P144/O144</f>
        <v>0.18009235505387378</v>
      </c>
      <c r="R144" s="15">
        <f>AVERAGE(IF(A144="Female",GETPIVOTDATA("tip %",$W$26,"sex","Female"),GETPIVOTDATA("tip %",$W$26,"sex","Male")),IF(K144=0,GETPIVOTDATA("tip %",$AA$26,"smoker","No"),GETPIVOTDATA("tip %",$AA$26,"smoker","Yes")),IF(C144=$W$33,GETPIVOTDATA("tip %",$W$32,"day","Thur"),IF(C144=$W$34,GETPIVOTDATA("tip %",$W$32,"day","Fri"),IF(C144=$W$35,GETPIVOTDATA("tip %",$W$32,"day","Sat"),IF(C144=$W$36,GETPIVOTDATA("tip %",$W$32,"day","Sun"),GETPIVOTDATA("tip %",$W$32))))),IF(D144=$AE$27,GETPIVOTDATA("tip %",$AE$26,"time","Dinner"),GETPIVOTDATA("tip %",$AE$26,"time","Lunch")),IF(N144=$AA$33,GETPIVOTDATA("Average of tip %",$AA$32,"size",1),IF(N144=$AA$34,GETPIVOTDATA("Average of tip %",$AA$32,"size",2),IF(N144=$AA$35,GETPIVOTDATA("Average of tip %",$AA$32,"size",3),IF(N144=$AA$36,GETPIVOTDATA("Average of tip %",$AA$32,"size",4),IF(N144=$AA$37,GETPIVOTDATA("Average of tip %",$AA$32,"size",5),GETPIVOTDATA("Average of tip %",$AA$32,"size",6)))))))</f>
        <v>0.15984705770871196</v>
      </c>
      <c r="S144" s="14">
        <f t="shared" si="6"/>
        <v>3.2659013640081964</v>
      </c>
      <c r="T144" s="17">
        <f t="shared" si="7"/>
        <v>3.1154191547427961</v>
      </c>
      <c r="U144" s="12">
        <f t="shared" si="8"/>
        <v>3.1906602593754965</v>
      </c>
    </row>
    <row r="145" spans="1:21" x14ac:dyDescent="0.2">
      <c r="A145" t="s">
        <v>11</v>
      </c>
      <c r="B145" t="s">
        <v>22</v>
      </c>
      <c r="C145" t="s">
        <v>21</v>
      </c>
      <c r="D145" t="s">
        <v>10</v>
      </c>
      <c r="E145">
        <v>4</v>
      </c>
      <c r="F145">
        <v>38.729999999999997</v>
      </c>
      <c r="G145">
        <v>3</v>
      </c>
      <c r="H145" s="5">
        <f>G145/F145</f>
        <v>7.7459333849728904E-2</v>
      </c>
      <c r="J145" s="16">
        <f>IF(A145="Male",0, 1)</f>
        <v>0</v>
      </c>
      <c r="K145" s="13">
        <f>IF(B145="No",0, 1)</f>
        <v>1</v>
      </c>
      <c r="L145" s="13">
        <f>IF(C145="Mon",1,IF(C145="Tues",2,IF(C145="Wed",3,IF(C145="Thur",4,IF(C145="Fri",5,IF(C145="Sat",6,7))))))</f>
        <v>6</v>
      </c>
      <c r="M145" s="13">
        <f>IF(D145="Lunch",0,1)</f>
        <v>1</v>
      </c>
      <c r="N145" s="13">
        <v>2</v>
      </c>
      <c r="O145" s="13">
        <v>19.649999999999999</v>
      </c>
      <c r="P145" s="13">
        <v>3</v>
      </c>
      <c r="Q145" s="15">
        <f>P145/O145</f>
        <v>0.15267175572519084</v>
      </c>
      <c r="R145" s="15">
        <f>AVERAGE(IF(A145="Female",GETPIVOTDATA("tip %",$W$26,"sex","Female"),GETPIVOTDATA("tip %",$W$26,"sex","Male")),IF(K145=0,GETPIVOTDATA("tip %",$AA$26,"smoker","No"),GETPIVOTDATA("tip %",$AA$26,"smoker","Yes")),IF(C145=$W$33,GETPIVOTDATA("tip %",$W$32,"day","Thur"),IF(C145=$W$34,GETPIVOTDATA("tip %",$W$32,"day","Fri"),IF(C145=$W$35,GETPIVOTDATA("tip %",$W$32,"day","Sat"),IF(C145=$W$36,GETPIVOTDATA("tip %",$W$32,"day","Sun"),GETPIVOTDATA("tip %",$W$32))))),IF(D145=$AE$27,GETPIVOTDATA("tip %",$AE$26,"time","Dinner"),GETPIVOTDATA("tip %",$AE$26,"time","Lunch")),IF(N145=$AA$33,GETPIVOTDATA("Average of tip %",$AA$32,"size",1),IF(N145=$AA$34,GETPIVOTDATA("Average of tip %",$AA$32,"size",2),IF(N145=$AA$35,GETPIVOTDATA("Average of tip %",$AA$32,"size",3),IF(N145=$AA$36,GETPIVOTDATA("Average of tip %",$AA$32,"size",4),IF(N145=$AA$37,GETPIVOTDATA("Average of tip %",$AA$32,"size",5),GETPIVOTDATA("Average of tip %",$AA$32,"size",6)))))))</f>
        <v>0.15984705770871196</v>
      </c>
      <c r="S145" s="14">
        <f t="shared" si="6"/>
        <v>3.2659013640081964</v>
      </c>
      <c r="T145" s="17">
        <f t="shared" si="7"/>
        <v>3.14099468397619</v>
      </c>
      <c r="U145" s="12">
        <f t="shared" si="8"/>
        <v>3.203448023992193</v>
      </c>
    </row>
    <row r="146" spans="1:21" x14ac:dyDescent="0.2">
      <c r="A146" t="s">
        <v>11</v>
      </c>
      <c r="B146" t="s">
        <v>8</v>
      </c>
      <c r="C146" t="s">
        <v>21</v>
      </c>
      <c r="D146" t="s">
        <v>10</v>
      </c>
      <c r="E146">
        <v>4</v>
      </c>
      <c r="F146">
        <v>20.45</v>
      </c>
      <c r="G146">
        <v>3</v>
      </c>
      <c r="H146" s="5">
        <f>G146/F146</f>
        <v>0.14669926650366749</v>
      </c>
      <c r="J146" s="16">
        <f>IF(A146="Male",0, 1)</f>
        <v>0</v>
      </c>
      <c r="K146" s="13">
        <f>IF(B146="No",0, 1)</f>
        <v>0</v>
      </c>
      <c r="L146" s="13">
        <f>IF(C146="Mon",1,IF(C146="Tues",2,IF(C146="Wed",3,IF(C146="Thur",4,IF(C146="Fri",5,IF(C146="Sat",6,7))))))</f>
        <v>6</v>
      </c>
      <c r="M146" s="13">
        <f>IF(D146="Lunch",0,1)</f>
        <v>1</v>
      </c>
      <c r="N146" s="13">
        <v>4</v>
      </c>
      <c r="O146" s="13">
        <v>19.77</v>
      </c>
      <c r="P146" s="13">
        <v>2</v>
      </c>
      <c r="Q146" s="15">
        <f>P146/O146</f>
        <v>0.10116337885685382</v>
      </c>
      <c r="R146" s="15">
        <f>AVERAGE(IF(A146="Female",GETPIVOTDATA("tip %",$W$26,"sex","Female"),GETPIVOTDATA("tip %",$W$26,"sex","Male")),IF(K146=0,GETPIVOTDATA("tip %",$AA$26,"smoker","No"),GETPIVOTDATA("tip %",$AA$26,"smoker","Yes")),IF(C146=$W$33,GETPIVOTDATA("tip %",$W$32,"day","Thur"),IF(C146=$W$34,GETPIVOTDATA("tip %",$W$32,"day","Fri"),IF(C146=$W$35,GETPIVOTDATA("tip %",$W$32,"day","Sat"),IF(C146=$W$36,GETPIVOTDATA("tip %",$W$32,"day","Sun"),GETPIVOTDATA("tip %",$W$32))))),IF(D146=$AE$27,GETPIVOTDATA("tip %",$AE$26,"time","Dinner"),GETPIVOTDATA("tip %",$AE$26,"time","Lunch")),IF(N146=$AA$33,GETPIVOTDATA("Average of tip %",$AA$32,"size",1),IF(N146=$AA$34,GETPIVOTDATA("Average of tip %",$AA$32,"size",2),IF(N146=$AA$35,GETPIVOTDATA("Average of tip %",$AA$32,"size",3),IF(N146=$AA$36,GETPIVOTDATA("Average of tip %",$AA$32,"size",4),IF(N146=$AA$37,GETPIVOTDATA("Average of tip %",$AA$32,"size",5),GETPIVOTDATA("Average of tip %",$AA$32,"size",6)))))))</f>
        <v>0.15511950414891634</v>
      </c>
      <c r="S146" s="14">
        <f t="shared" si="6"/>
        <v>3.2625302894514783</v>
      </c>
      <c r="T146" s="17">
        <f t="shared" si="7"/>
        <v>3.0667125970240758</v>
      </c>
      <c r="U146" s="12">
        <f t="shared" si="8"/>
        <v>3.1646214432377771</v>
      </c>
    </row>
    <row r="147" spans="1:21" x14ac:dyDescent="0.2">
      <c r="A147" t="s">
        <v>11</v>
      </c>
      <c r="B147" t="s">
        <v>22</v>
      </c>
      <c r="C147" t="s">
        <v>21</v>
      </c>
      <c r="D147" t="s">
        <v>10</v>
      </c>
      <c r="E147">
        <v>5</v>
      </c>
      <c r="F147">
        <v>28.15</v>
      </c>
      <c r="G147">
        <v>3</v>
      </c>
      <c r="H147" s="5">
        <f>G147/F147</f>
        <v>0.10657193605683837</v>
      </c>
      <c r="J147" s="16">
        <f>IF(A147="Male",0, 1)</f>
        <v>0</v>
      </c>
      <c r="K147" s="13">
        <f>IF(B147="No",0, 1)</f>
        <v>1</v>
      </c>
      <c r="L147" s="13">
        <f>IF(C147="Mon",1,IF(C147="Tues",2,IF(C147="Wed",3,IF(C147="Thur",4,IF(C147="Fri",5,IF(C147="Sat",6,7))))))</f>
        <v>6</v>
      </c>
      <c r="M147" s="13">
        <f>IF(D147="Lunch",0,1)</f>
        <v>1</v>
      </c>
      <c r="N147" s="13">
        <v>2</v>
      </c>
      <c r="O147" s="13">
        <v>19.809999999999999</v>
      </c>
      <c r="P147" s="13">
        <v>4.1900000000000004</v>
      </c>
      <c r="Q147" s="15">
        <f>P147/O147</f>
        <v>0.21150933871781932</v>
      </c>
      <c r="R147" s="15">
        <f>AVERAGE(IF(A147="Female",GETPIVOTDATA("tip %",$W$26,"sex","Female"),GETPIVOTDATA("tip %",$W$26,"sex","Male")),IF(K147=0,GETPIVOTDATA("tip %",$AA$26,"smoker","No"),GETPIVOTDATA("tip %",$AA$26,"smoker","Yes")),IF(C147=$W$33,GETPIVOTDATA("tip %",$W$32,"day","Thur"),IF(C147=$W$34,GETPIVOTDATA("tip %",$W$32,"day","Fri"),IF(C147=$W$35,GETPIVOTDATA("tip %",$W$32,"day","Sat"),IF(C147=$W$36,GETPIVOTDATA("tip %",$W$32,"day","Sun"),GETPIVOTDATA("tip %",$W$32))))),IF(D147=$AE$27,GETPIVOTDATA("tip %",$AE$26,"time","Dinner"),GETPIVOTDATA("tip %",$AE$26,"time","Lunch")),IF(N147=$AA$33,GETPIVOTDATA("Average of tip %",$AA$32,"size",1),IF(N147=$AA$34,GETPIVOTDATA("Average of tip %",$AA$32,"size",2),IF(N147=$AA$35,GETPIVOTDATA("Average of tip %",$AA$32,"size",3),IF(N147=$AA$36,GETPIVOTDATA("Average of tip %",$AA$32,"size",4),IF(N147=$AA$37,GETPIVOTDATA("Average of tip %",$AA$32,"size",5),GETPIVOTDATA("Average of tip %",$AA$32,"size",6)))))))</f>
        <v>0.15984705770871196</v>
      </c>
      <c r="S147" s="14">
        <f t="shared" si="6"/>
        <v>3.2444202829271154</v>
      </c>
      <c r="T147" s="17">
        <f t="shared" si="7"/>
        <v>3.1665702132095839</v>
      </c>
      <c r="U147" s="12">
        <f t="shared" si="8"/>
        <v>3.2054952480683498</v>
      </c>
    </row>
    <row r="148" spans="1:21" x14ac:dyDescent="0.2">
      <c r="A148" t="s">
        <v>7</v>
      </c>
      <c r="B148" t="s">
        <v>8</v>
      </c>
      <c r="C148" t="s">
        <v>9</v>
      </c>
      <c r="D148" t="s">
        <v>10</v>
      </c>
      <c r="E148">
        <v>2</v>
      </c>
      <c r="F148">
        <v>14.83</v>
      </c>
      <c r="G148">
        <v>3.02</v>
      </c>
      <c r="H148" s="5">
        <f>G148/F148</f>
        <v>0.20364126770060686</v>
      </c>
      <c r="J148" s="16">
        <f>IF(A148="Male",0, 1)</f>
        <v>1</v>
      </c>
      <c r="K148" s="13">
        <f>IF(B148="No",0, 1)</f>
        <v>0</v>
      </c>
      <c r="L148" s="13">
        <f>IF(C148="Mon",1,IF(C148="Tues",2,IF(C148="Wed",3,IF(C148="Thur",4,IF(C148="Fri",5,IF(C148="Sat",6,7))))))</f>
        <v>7</v>
      </c>
      <c r="M148" s="13">
        <f>IF(D148="Lunch",0,1)</f>
        <v>1</v>
      </c>
      <c r="N148" s="13">
        <v>2</v>
      </c>
      <c r="O148" s="13">
        <v>19.82</v>
      </c>
      <c r="P148" s="13">
        <v>3.18</v>
      </c>
      <c r="Q148" s="15">
        <f>P148/O148</f>
        <v>0.16044399596367306</v>
      </c>
      <c r="R148" s="15">
        <f>AVERAGE(IF(A148="Female",GETPIVOTDATA("tip %",$W$26,"sex","Female"),GETPIVOTDATA("tip %",$W$26,"sex","Male")),IF(K148=0,GETPIVOTDATA("tip %",$AA$26,"smoker","No"),GETPIVOTDATA("tip %",$AA$26,"smoker","Yes")),IF(C148=$W$33,GETPIVOTDATA("tip %",$W$32,"day","Thur"),IF(C148=$W$34,GETPIVOTDATA("tip %",$W$32,"day","Fri"),IF(C148=$W$35,GETPIVOTDATA("tip %",$W$32,"day","Sat"),IF(C148=$W$36,GETPIVOTDATA("tip %",$W$32,"day","Sun"),GETPIVOTDATA("tip %",$W$32))))),IF(D148=$AE$27,GETPIVOTDATA("tip %",$AE$26,"time","Dinner"),GETPIVOTDATA("tip %",$AE$26,"time","Lunch")),IF(N148=$AA$33,GETPIVOTDATA("Average of tip %",$AA$32,"size",1),IF(N148=$AA$34,GETPIVOTDATA("Average of tip %",$AA$32,"size",2),IF(N148=$AA$35,GETPIVOTDATA("Average of tip %",$AA$32,"size",3),IF(N148=$AA$36,GETPIVOTDATA("Average of tip %",$AA$32,"size",4),IF(N148=$AA$37,GETPIVOTDATA("Average of tip %",$AA$32,"size",5),GETPIVOTDATA("Average of tip %",$AA$32,"size",6)))))))</f>
        <v>0.16359069307477619</v>
      </c>
      <c r="S148" s="14">
        <f t="shared" si="6"/>
        <v>2.9530824612596698</v>
      </c>
      <c r="T148" s="17">
        <f t="shared" si="7"/>
        <v>3.2423675367420643</v>
      </c>
      <c r="U148" s="12">
        <f t="shared" si="8"/>
        <v>3.0977249990008673</v>
      </c>
    </row>
    <row r="149" spans="1:21" x14ac:dyDescent="0.2">
      <c r="A149" t="s">
        <v>11</v>
      </c>
      <c r="B149" t="s">
        <v>8</v>
      </c>
      <c r="C149" t="s">
        <v>9</v>
      </c>
      <c r="D149" t="s">
        <v>10</v>
      </c>
      <c r="E149">
        <v>2</v>
      </c>
      <c r="F149">
        <v>13.94</v>
      </c>
      <c r="G149">
        <v>3.06</v>
      </c>
      <c r="H149" s="5">
        <f>G149/F149</f>
        <v>0.21951219512195122</v>
      </c>
      <c r="J149" s="16">
        <f>IF(A149="Male",0, 1)</f>
        <v>0</v>
      </c>
      <c r="K149" s="13">
        <f>IF(B149="No",0, 1)</f>
        <v>0</v>
      </c>
      <c r="L149" s="13">
        <f>IF(C149="Mon",1,IF(C149="Tues",2,IF(C149="Wed",3,IF(C149="Thur",4,IF(C149="Fri",5,IF(C149="Sat",6,7))))))</f>
        <v>7</v>
      </c>
      <c r="M149" s="13">
        <f>IF(D149="Lunch",0,1)</f>
        <v>1</v>
      </c>
      <c r="N149" s="13">
        <v>3</v>
      </c>
      <c r="O149" s="13">
        <v>20.079999999999998</v>
      </c>
      <c r="P149" s="13">
        <v>3.15</v>
      </c>
      <c r="Q149" s="15">
        <f>P149/O149</f>
        <v>0.15687250996015936</v>
      </c>
      <c r="R149" s="15">
        <f>AVERAGE(IF(A149="Female",GETPIVOTDATA("tip %",$W$26,"sex","Female"),GETPIVOTDATA("tip %",$W$26,"sex","Male")),IF(K149=0,GETPIVOTDATA("tip %",$AA$26,"smoker","No"),GETPIVOTDATA("tip %",$AA$26,"smoker","Yes")),IF(C149=$W$33,GETPIVOTDATA("tip %",$W$32,"day","Thur"),IF(C149=$W$34,GETPIVOTDATA("tip %",$W$32,"day","Fri"),IF(C149=$W$35,GETPIVOTDATA("tip %",$W$32,"day","Sat"),IF(C149=$W$36,GETPIVOTDATA("tip %",$W$32,"day","Sun"),GETPIVOTDATA("tip %",$W$32))))),IF(D149=$AE$27,GETPIVOTDATA("tip %",$AE$26,"time","Dinner"),GETPIVOTDATA("tip %",$AE$26,"time","Lunch")),IF(N149=$AA$33,GETPIVOTDATA("Average of tip %",$AA$32,"size",1),IF(N149=$AA$34,GETPIVOTDATA("Average of tip %",$AA$32,"size",2),IF(N149=$AA$35,GETPIVOTDATA("Average of tip %",$AA$32,"size",3),IF(N149=$AA$36,GETPIVOTDATA("Average of tip %",$AA$32,"size",4),IF(N149=$AA$37,GETPIVOTDATA("Average of tip %",$AA$32,"size",5),GETPIVOTDATA("Average of tip %",$AA$32,"size",6)))))))</f>
        <v>0.15911018781030864</v>
      </c>
      <c r="S149" s="14">
        <f t="shared" si="6"/>
        <v>3.0043163729662368</v>
      </c>
      <c r="T149" s="17">
        <f t="shared" si="7"/>
        <v>3.1949325712309973</v>
      </c>
      <c r="U149" s="12">
        <f t="shared" si="8"/>
        <v>3.099624472098617</v>
      </c>
    </row>
    <row r="150" spans="1:21" x14ac:dyDescent="0.2">
      <c r="A150" t="s">
        <v>7</v>
      </c>
      <c r="B150" t="s">
        <v>8</v>
      </c>
      <c r="C150" t="s">
        <v>21</v>
      </c>
      <c r="D150" t="s">
        <v>10</v>
      </c>
      <c r="E150">
        <v>3</v>
      </c>
      <c r="F150">
        <v>16.93</v>
      </c>
      <c r="G150">
        <v>3.07</v>
      </c>
      <c r="H150" s="5">
        <f>G150/F150</f>
        <v>0.1813349084465446</v>
      </c>
      <c r="J150" s="16">
        <f>IF(A150="Male",0, 1)</f>
        <v>1</v>
      </c>
      <c r="K150" s="13">
        <f>IF(B150="No",0, 1)</f>
        <v>0</v>
      </c>
      <c r="L150" s="13">
        <f>IF(C150="Mon",1,IF(C150="Tues",2,IF(C150="Wed",3,IF(C150="Thur",4,IF(C150="Fri",5,IF(C150="Sat",6,7))))))</f>
        <v>6</v>
      </c>
      <c r="M150" s="13">
        <f>IF(D150="Lunch",0,1)</f>
        <v>1</v>
      </c>
      <c r="N150" s="13">
        <v>2</v>
      </c>
      <c r="O150" s="13">
        <v>20.23</v>
      </c>
      <c r="P150" s="13">
        <v>2.0099999999999998</v>
      </c>
      <c r="Q150" s="15">
        <f>P150/O150</f>
        <v>9.9357390014829447E-2</v>
      </c>
      <c r="R150" s="15">
        <f>AVERAGE(IF(A150="Female",GETPIVOTDATA("tip %",$W$26,"sex","Female"),GETPIVOTDATA("tip %",$W$26,"sex","Male")),IF(K150=0,GETPIVOTDATA("tip %",$AA$26,"smoker","No"),GETPIVOTDATA("tip %",$AA$26,"smoker","Yes")),IF(C150=$W$33,GETPIVOTDATA("tip %",$W$32,"day","Thur"),IF(C150=$W$34,GETPIVOTDATA("tip %",$W$32,"day","Fri"),IF(C150=$W$35,GETPIVOTDATA("tip %",$W$32,"day","Sat"),IF(C150=$W$36,GETPIVOTDATA("tip %",$W$32,"day","Sun"),GETPIVOTDATA("tip %",$W$32))))),IF(D150=$AE$27,GETPIVOTDATA("tip %",$AE$26,"time","Dinner"),GETPIVOTDATA("tip %",$AE$26,"time","Lunch")),IF(N150=$AA$33,GETPIVOTDATA("Average of tip %",$AA$32,"size",1),IF(N150=$AA$34,GETPIVOTDATA("Average of tip %",$AA$32,"size",2),IF(N150=$AA$35,GETPIVOTDATA("Average of tip %",$AA$32,"size",3),IF(N150=$AA$36,GETPIVOTDATA("Average of tip %",$AA$32,"size",4),IF(N150=$AA$37,GETPIVOTDATA("Average of tip %",$AA$32,"size",5),GETPIVOTDATA("Average of tip %",$AA$32,"size",6)))))))</f>
        <v>0.16084157908210489</v>
      </c>
      <c r="S150" s="14">
        <f t="shared" si="6"/>
        <v>3.0628468756111977</v>
      </c>
      <c r="T150" s="17">
        <f t="shared" si="7"/>
        <v>3.2538251448309818</v>
      </c>
      <c r="U150" s="12">
        <f t="shared" si="8"/>
        <v>3.15833601022109</v>
      </c>
    </row>
    <row r="151" spans="1:21" x14ac:dyDescent="0.2">
      <c r="A151" t="s">
        <v>11</v>
      </c>
      <c r="B151" t="s">
        <v>22</v>
      </c>
      <c r="C151" t="s">
        <v>21</v>
      </c>
      <c r="D151" t="s">
        <v>10</v>
      </c>
      <c r="E151">
        <v>2</v>
      </c>
      <c r="F151">
        <v>17.920000000000002</v>
      </c>
      <c r="G151">
        <v>3.08</v>
      </c>
      <c r="H151" s="5">
        <f>G151/F151</f>
        <v>0.171875</v>
      </c>
      <c r="J151" s="16">
        <f>IF(A151="Male",0, 1)</f>
        <v>0</v>
      </c>
      <c r="K151" s="13">
        <f>IF(B151="No",0, 1)</f>
        <v>1</v>
      </c>
      <c r="L151" s="13">
        <f>IF(C151="Mon",1,IF(C151="Tues",2,IF(C151="Wed",3,IF(C151="Thur",4,IF(C151="Fri",5,IF(C151="Sat",6,7))))))</f>
        <v>6</v>
      </c>
      <c r="M151" s="13">
        <f>IF(D151="Lunch",0,1)</f>
        <v>1</v>
      </c>
      <c r="N151" s="13">
        <v>2</v>
      </c>
      <c r="O151" s="13">
        <v>20.27</v>
      </c>
      <c r="P151" s="13">
        <v>2.83</v>
      </c>
      <c r="Q151" s="15">
        <f>P151/O151</f>
        <v>0.13961519486926494</v>
      </c>
      <c r="R151" s="15">
        <f>AVERAGE(IF(A151="Female",GETPIVOTDATA("tip %",$W$26,"sex","Female"),GETPIVOTDATA("tip %",$W$26,"sex","Male")),IF(K151=0,GETPIVOTDATA("tip %",$AA$26,"smoker","No"),GETPIVOTDATA("tip %",$AA$26,"smoker","Yes")),IF(C151=$W$33,GETPIVOTDATA("tip %",$W$32,"day","Thur"),IF(C151=$W$34,GETPIVOTDATA("tip %",$W$32,"day","Fri"),IF(C151=$W$35,GETPIVOTDATA("tip %",$W$32,"day","Sat"),IF(C151=$W$36,GETPIVOTDATA("tip %",$W$32,"day","Sun"),GETPIVOTDATA("tip %",$W$32))))),IF(D151=$AE$27,GETPIVOTDATA("tip %",$AE$26,"time","Dinner"),GETPIVOTDATA("tip %",$AE$26,"time","Lunch")),IF(N151=$AA$33,GETPIVOTDATA("Average of tip %",$AA$32,"size",1),IF(N151=$AA$34,GETPIVOTDATA("Average of tip %",$AA$32,"size",2),IF(N151=$AA$35,GETPIVOTDATA("Average of tip %",$AA$32,"size",3),IF(N151=$AA$36,GETPIVOTDATA("Average of tip %",$AA$32,"size",4),IF(N151=$AA$37,GETPIVOTDATA("Average of tip %",$AA$32,"size",5),GETPIVOTDATA("Average of tip %",$AA$32,"size",6)))))))</f>
        <v>0.15984705770871196</v>
      </c>
      <c r="S151" s="14">
        <f t="shared" si="6"/>
        <v>2.9552818213886538</v>
      </c>
      <c r="T151" s="17">
        <f t="shared" si="7"/>
        <v>3.2400998597555914</v>
      </c>
      <c r="U151" s="12">
        <f t="shared" si="8"/>
        <v>3.0976908405721226</v>
      </c>
    </row>
    <row r="152" spans="1:21" x14ac:dyDescent="0.2">
      <c r="A152" t="s">
        <v>7</v>
      </c>
      <c r="B152" t="s">
        <v>22</v>
      </c>
      <c r="C152" t="s">
        <v>21</v>
      </c>
      <c r="D152" t="s">
        <v>10</v>
      </c>
      <c r="E152">
        <v>4</v>
      </c>
      <c r="F152">
        <v>30.14</v>
      </c>
      <c r="G152">
        <v>3.09</v>
      </c>
      <c r="H152" s="5">
        <f>G152/F152</f>
        <v>0.10252156602521566</v>
      </c>
      <c r="J152" s="16">
        <f>IF(A152="Male",0, 1)</f>
        <v>1</v>
      </c>
      <c r="K152" s="13">
        <f>IF(B152="No",0, 1)</f>
        <v>1</v>
      </c>
      <c r="L152" s="13">
        <f>IF(C152="Mon",1,IF(C152="Tues",2,IF(C152="Wed",3,IF(C152="Thur",4,IF(C152="Fri",5,IF(C152="Sat",6,7))))))</f>
        <v>6</v>
      </c>
      <c r="M152" s="13">
        <f>IF(D152="Lunch",0,1)</f>
        <v>1</v>
      </c>
      <c r="N152" s="13">
        <v>2</v>
      </c>
      <c r="O152" s="13">
        <v>20.29</v>
      </c>
      <c r="P152" s="13">
        <v>3.21</v>
      </c>
      <c r="Q152" s="15">
        <f>P152/O152</f>
        <v>0.15820601281419419</v>
      </c>
      <c r="R152" s="15">
        <f>AVERAGE(IF(A152="Female",GETPIVOTDATA("tip %",$W$26,"sex","Female"),GETPIVOTDATA("tip %",$W$26,"sex","Male")),IF(K152=0,GETPIVOTDATA("tip %",$AA$26,"smoker","No"),GETPIVOTDATA("tip %",$AA$26,"smoker","Yes")),IF(C152=$W$33,GETPIVOTDATA("tip %",$W$32,"day","Thur"),IF(C152=$W$34,GETPIVOTDATA("tip %",$W$32,"day","Fri"),IF(C152=$W$35,GETPIVOTDATA("tip %",$W$32,"day","Sat"),IF(C152=$W$36,GETPIVOTDATA("tip %",$W$32,"day","Sun"),GETPIVOTDATA("tip %",$W$32))))),IF(D152=$AE$27,GETPIVOTDATA("tip %",$AE$26,"time","Dinner"),GETPIVOTDATA("tip %",$AE$26,"time","Lunch")),IF(N152=$AA$33,GETPIVOTDATA("Average of tip %",$AA$32,"size",1),IF(N152=$AA$34,GETPIVOTDATA("Average of tip %",$AA$32,"size",2),IF(N152=$AA$35,GETPIVOTDATA("Average of tip %",$AA$32,"size",3),IF(N152=$AA$36,GETPIVOTDATA("Average of tip %",$AA$32,"size",4),IF(N152=$AA$37,GETPIVOTDATA("Average of tip %",$AA$32,"size",5),GETPIVOTDATA("Average of tip %",$AA$32,"size",6)))))))</f>
        <v>0.16161509557363743</v>
      </c>
      <c r="S152" s="14">
        <f t="shared" si="6"/>
        <v>3.2146674523016285</v>
      </c>
      <c r="T152" s="17">
        <f t="shared" si="7"/>
        <v>3.2791702891891035</v>
      </c>
      <c r="U152" s="12">
        <f t="shared" si="8"/>
        <v>3.246918870745366</v>
      </c>
    </row>
    <row r="153" spans="1:21" x14ac:dyDescent="0.2">
      <c r="A153" t="s">
        <v>11</v>
      </c>
      <c r="B153" t="s">
        <v>22</v>
      </c>
      <c r="C153" t="s">
        <v>9</v>
      </c>
      <c r="D153" t="s">
        <v>10</v>
      </c>
      <c r="E153">
        <v>2</v>
      </c>
      <c r="F153">
        <v>32.9</v>
      </c>
      <c r="G153">
        <v>3.11</v>
      </c>
      <c r="H153" s="5">
        <f>G153/F153</f>
        <v>9.4528875379939203E-2</v>
      </c>
      <c r="J153" s="16">
        <f>IF(A153="Male",0, 1)</f>
        <v>0</v>
      </c>
      <c r="K153" s="13">
        <f>IF(B153="No",0, 1)</f>
        <v>1</v>
      </c>
      <c r="L153" s="13">
        <f>IF(C153="Mon",1,IF(C153="Tues",2,IF(C153="Wed",3,IF(C153="Thur",4,IF(C153="Fri",5,IF(C153="Sat",6,7))))))</f>
        <v>7</v>
      </c>
      <c r="M153" s="13">
        <f>IF(D153="Lunch",0,1)</f>
        <v>1</v>
      </c>
      <c r="N153" s="13">
        <v>2</v>
      </c>
      <c r="O153" s="13">
        <v>20.29</v>
      </c>
      <c r="P153" s="13">
        <v>2.75</v>
      </c>
      <c r="Q153" s="15">
        <f>P153/O153</f>
        <v>0.13553474618038444</v>
      </c>
      <c r="R153" s="15">
        <f>AVERAGE(IF(A153="Female",GETPIVOTDATA("tip %",$W$26,"sex","Female"),GETPIVOTDATA("tip %",$W$26,"sex","Male")),IF(K153=0,GETPIVOTDATA("tip %",$AA$26,"smoker","No"),GETPIVOTDATA("tip %",$AA$26,"smoker","Yes")),IF(C153=$W$33,GETPIVOTDATA("tip %",$W$32,"day","Thur"),IF(C153=$W$34,GETPIVOTDATA("tip %",$W$32,"day","Fri"),IF(C153=$W$35,GETPIVOTDATA("tip %",$W$32,"day","Sat"),IF(C153=$W$36,GETPIVOTDATA("tip %",$W$32,"day","Sun"),GETPIVOTDATA("tip %",$W$32))))),IF(D153=$AE$27,GETPIVOTDATA("tip %",$AE$26,"time","Dinner"),GETPIVOTDATA("tip %",$AE$26,"time","Lunch")),IF(N153=$AA$33,GETPIVOTDATA("Average of tip %",$AA$32,"size",1),IF(N153=$AA$34,GETPIVOTDATA("Average of tip %",$AA$32,"size",2),IF(N153=$AA$35,GETPIVOTDATA("Average of tip %",$AA$32,"size",3),IF(N153=$AA$36,GETPIVOTDATA("Average of tip %",$AA$32,"size",4),IF(N153=$AA$37,GETPIVOTDATA("Average of tip %",$AA$32,"size",5),GETPIVOTDATA("Average of tip %",$AA$32,"size",6)))))))</f>
        <v>0.16259617170138324</v>
      </c>
      <c r="S153" s="14">
        <f t="shared" si="6"/>
        <v>3.0076874475229554</v>
      </c>
      <c r="T153" s="17">
        <f t="shared" si="7"/>
        <v>3.2990763238210659</v>
      </c>
      <c r="U153" s="12">
        <f t="shared" si="8"/>
        <v>3.1533818856720108</v>
      </c>
    </row>
    <row r="154" spans="1:21" x14ac:dyDescent="0.2">
      <c r="A154" t="s">
        <v>11</v>
      </c>
      <c r="B154" t="s">
        <v>8</v>
      </c>
      <c r="C154" t="s">
        <v>9</v>
      </c>
      <c r="D154" t="s">
        <v>10</v>
      </c>
      <c r="E154">
        <v>4</v>
      </c>
      <c r="F154">
        <v>26.88</v>
      </c>
      <c r="G154">
        <v>3.12</v>
      </c>
      <c r="H154" s="5">
        <f>G154/F154</f>
        <v>0.11607142857142858</v>
      </c>
      <c r="J154" s="16">
        <f>IF(A154="Male",0, 1)</f>
        <v>0</v>
      </c>
      <c r="K154" s="13">
        <f>IF(B154="No",0, 1)</f>
        <v>0</v>
      </c>
      <c r="L154" s="13">
        <f>IF(C154="Mon",1,IF(C154="Tues",2,IF(C154="Wed",3,IF(C154="Thur",4,IF(C154="Fri",5,IF(C154="Sat",6,7))))))</f>
        <v>7</v>
      </c>
      <c r="M154" s="13">
        <f>IF(D154="Lunch",0,1)</f>
        <v>1</v>
      </c>
      <c r="N154" s="13">
        <v>4</v>
      </c>
      <c r="O154" s="13">
        <v>20.45</v>
      </c>
      <c r="P154" s="13">
        <v>3</v>
      </c>
      <c r="Q154" s="15">
        <f>P154/O154</f>
        <v>0.14669926650366749</v>
      </c>
      <c r="R154" s="15">
        <f>AVERAGE(IF(A154="Female",GETPIVOTDATA("tip %",$W$26,"sex","Female"),GETPIVOTDATA("tip %",$W$26,"sex","Male")),IF(K154=0,GETPIVOTDATA("tip %",$AA$26,"smoker","No"),GETPIVOTDATA("tip %",$AA$26,"smoker","Yes")),IF(C154=$W$33,GETPIVOTDATA("tip %",$W$32,"day","Thur"),IF(C154=$W$34,GETPIVOTDATA("tip %",$W$32,"day","Fri"),IF(C154=$W$35,GETPIVOTDATA("tip %",$W$32,"day","Sat"),IF(C154=$W$36,GETPIVOTDATA("tip %",$W$32,"day","Sun"),GETPIVOTDATA("tip %",$W$32))))),IF(D154=$AE$27,GETPIVOTDATA("tip %",$AE$26,"time","Dinner"),GETPIVOTDATA("tip %",$AE$26,"time","Lunch")),IF(N154=$AA$33,GETPIVOTDATA("Average of tip %",$AA$32,"size",1),IF(N154=$AA$34,GETPIVOTDATA("Average of tip %",$AA$32,"size",2),IF(N154=$AA$35,GETPIVOTDATA("Average of tip %",$AA$32,"size",3),IF(N154=$AA$36,GETPIVOTDATA("Average of tip %",$AA$32,"size",4),IF(N154=$AA$37,GETPIVOTDATA("Average of tip %",$AA$32,"size",5),GETPIVOTDATA("Average of tip %",$AA$32,"size",6)))))))</f>
        <v>0.15786861814158762</v>
      </c>
      <c r="S154" s="14">
        <f t="shared" si="6"/>
        <v>3.3149359155857794</v>
      </c>
      <c r="T154" s="17">
        <f t="shared" si="7"/>
        <v>3.2284132409954669</v>
      </c>
      <c r="U154" s="12">
        <f t="shared" si="8"/>
        <v>3.2716745782906234</v>
      </c>
    </row>
    <row r="155" spans="1:21" x14ac:dyDescent="0.2">
      <c r="A155" t="s">
        <v>7</v>
      </c>
      <c r="B155" t="s">
        <v>22</v>
      </c>
      <c r="C155" t="s">
        <v>21</v>
      </c>
      <c r="D155" t="s">
        <v>10</v>
      </c>
      <c r="E155">
        <v>2</v>
      </c>
      <c r="F155">
        <v>26.86</v>
      </c>
      <c r="G155">
        <v>3.14</v>
      </c>
      <c r="H155" s="5">
        <f>G155/F155</f>
        <v>0.11690245718540582</v>
      </c>
      <c r="J155" s="16">
        <f>IF(A155="Male",0, 1)</f>
        <v>1</v>
      </c>
      <c r="K155" s="13">
        <f>IF(B155="No",0, 1)</f>
        <v>1</v>
      </c>
      <c r="L155" s="13">
        <f>IF(C155="Mon",1,IF(C155="Tues",2,IF(C155="Wed",3,IF(C155="Thur",4,IF(C155="Fri",5,IF(C155="Sat",6,7))))))</f>
        <v>6</v>
      </c>
      <c r="M155" s="13">
        <f>IF(D155="Lunch",0,1)</f>
        <v>1</v>
      </c>
      <c r="N155" s="13">
        <v>2</v>
      </c>
      <c r="O155" s="13">
        <v>20.49</v>
      </c>
      <c r="P155" s="13">
        <v>4.0599999999999996</v>
      </c>
      <c r="Q155" s="15">
        <f>P155/O155</f>
        <v>0.19814543679843827</v>
      </c>
      <c r="R155" s="15">
        <f>AVERAGE(IF(A155="Female",GETPIVOTDATA("tip %",$W$26,"sex","Female"),GETPIVOTDATA("tip %",$W$26,"sex","Male")),IF(K155=0,GETPIVOTDATA("tip %",$AA$26,"smoker","No"),GETPIVOTDATA("tip %",$AA$26,"smoker","Yes")),IF(C155=$W$33,GETPIVOTDATA("tip %",$W$32,"day","Thur"),IF(C155=$W$34,GETPIVOTDATA("tip %",$W$32,"day","Fri"),IF(C155=$W$35,GETPIVOTDATA("tip %",$W$32,"day","Sat"),IF(C155=$W$36,GETPIVOTDATA("tip %",$W$32,"day","Sun"),GETPIVOTDATA("tip %",$W$32))))),IF(D155=$AE$27,GETPIVOTDATA("tip %",$AE$26,"time","Dinner"),GETPIVOTDATA("tip %",$AE$26,"time","Lunch")),IF(N155=$AA$33,GETPIVOTDATA("Average of tip %",$AA$32,"size",1),IF(N155=$AA$34,GETPIVOTDATA("Average of tip %",$AA$32,"size",2),IF(N155=$AA$35,GETPIVOTDATA("Average of tip %",$AA$32,"size",3),IF(N155=$AA$36,GETPIVOTDATA("Average of tip %",$AA$32,"size",4),IF(N155=$AA$37,GETPIVOTDATA("Average of tip %",$AA$32,"size",5),GETPIVOTDATA("Average of tip %",$AA$32,"size",6)))))))</f>
        <v>0.16161509557363743</v>
      </c>
      <c r="S155" s="14">
        <f t="shared" si="6"/>
        <v>2.9040479096820868</v>
      </c>
      <c r="T155" s="17">
        <f t="shared" si="7"/>
        <v>3.3114933083038305</v>
      </c>
      <c r="U155" s="12">
        <f t="shared" si="8"/>
        <v>3.1077706089929586</v>
      </c>
    </row>
    <row r="156" spans="1:21" x14ac:dyDescent="0.2">
      <c r="A156" t="s">
        <v>11</v>
      </c>
      <c r="B156" t="s">
        <v>8</v>
      </c>
      <c r="C156" t="s">
        <v>21</v>
      </c>
      <c r="D156" t="s">
        <v>10</v>
      </c>
      <c r="E156">
        <v>3</v>
      </c>
      <c r="F156">
        <v>20.079999999999998</v>
      </c>
      <c r="G156">
        <v>3.15</v>
      </c>
      <c r="H156" s="5">
        <f>G156/F156</f>
        <v>0.15687250996015936</v>
      </c>
      <c r="J156" s="16">
        <f>IF(A156="Male",0, 1)</f>
        <v>0</v>
      </c>
      <c r="K156" s="13">
        <f>IF(B156="No",0, 1)</f>
        <v>0</v>
      </c>
      <c r="L156" s="13">
        <f>IF(C156="Mon",1,IF(C156="Tues",2,IF(C156="Wed",3,IF(C156="Thur",4,IF(C156="Fri",5,IF(C156="Sat",6,7))))))</f>
        <v>6</v>
      </c>
      <c r="M156" s="13">
        <f>IF(D156="Lunch",0,1)</f>
        <v>1</v>
      </c>
      <c r="N156" s="13">
        <v>4</v>
      </c>
      <c r="O156" s="13">
        <v>20.53</v>
      </c>
      <c r="P156" s="13">
        <v>4</v>
      </c>
      <c r="Q156" s="15">
        <f>P156/O156</f>
        <v>0.19483682415976619</v>
      </c>
      <c r="R156" s="15">
        <f>AVERAGE(IF(A156="Female",GETPIVOTDATA("tip %",$W$26,"sex","Female"),GETPIVOTDATA("tip %",$W$26,"sex","Male")),IF(K156=0,GETPIVOTDATA("tip %",$AA$26,"smoker","No"),GETPIVOTDATA("tip %",$AA$26,"smoker","Yes")),IF(C156=$W$33,GETPIVOTDATA("tip %",$W$32,"day","Thur"),IF(C156=$W$34,GETPIVOTDATA("tip %",$W$32,"day","Fri"),IF(C156=$W$35,GETPIVOTDATA("tip %",$W$32,"day","Sat"),IF(C156=$W$36,GETPIVOTDATA("tip %",$W$32,"day","Sun"),GETPIVOTDATA("tip %",$W$32))))),IF(D156=$AE$27,GETPIVOTDATA("tip %",$AE$26,"time","Dinner"),GETPIVOTDATA("tip %",$AE$26,"time","Lunch")),IF(N156=$AA$33,GETPIVOTDATA("Average of tip %",$AA$32,"size",1),IF(N156=$AA$34,GETPIVOTDATA("Average of tip %",$AA$32,"size",2),IF(N156=$AA$35,GETPIVOTDATA("Average of tip %",$AA$32,"size",3),IF(N156=$AA$36,GETPIVOTDATA("Average of tip %",$AA$32,"size",4),IF(N156=$AA$37,GETPIVOTDATA("Average of tip %",$AA$32,"size",5),GETPIVOTDATA("Average of tip %",$AA$32,"size",6)))))))</f>
        <v>0.15511950414891634</v>
      </c>
      <c r="S156" s="14">
        <f t="shared" si="6"/>
        <v>3.1140807873177652</v>
      </c>
      <c r="T156" s="17">
        <f t="shared" si="7"/>
        <v>3.1846034201772526</v>
      </c>
      <c r="U156" s="12">
        <f t="shared" si="8"/>
        <v>3.1493421037475091</v>
      </c>
    </row>
    <row r="157" spans="1:21" x14ac:dyDescent="0.2">
      <c r="A157" t="s">
        <v>11</v>
      </c>
      <c r="B157" t="s">
        <v>22</v>
      </c>
      <c r="C157" t="s">
        <v>21</v>
      </c>
      <c r="D157" t="s">
        <v>10</v>
      </c>
      <c r="E157">
        <v>2</v>
      </c>
      <c r="F157">
        <v>15.81</v>
      </c>
      <c r="G157">
        <v>3.16</v>
      </c>
      <c r="H157" s="5">
        <f>G157/F157</f>
        <v>0.19987349778621127</v>
      </c>
      <c r="J157" s="16">
        <f>IF(A157="Male",0, 1)</f>
        <v>0</v>
      </c>
      <c r="K157" s="13">
        <f>IF(B157="No",0, 1)</f>
        <v>1</v>
      </c>
      <c r="L157" s="13">
        <f>IF(C157="Mon",1,IF(C157="Tues",2,IF(C157="Wed",3,IF(C157="Thur",4,IF(C157="Fri",5,IF(C157="Sat",6,7))))))</f>
        <v>6</v>
      </c>
      <c r="M157" s="13">
        <f>IF(D157="Lunch",0,1)</f>
        <v>1</v>
      </c>
      <c r="N157" s="13">
        <v>3</v>
      </c>
      <c r="O157" s="13">
        <v>20.65</v>
      </c>
      <c r="P157" s="13">
        <v>3.35</v>
      </c>
      <c r="Q157" s="15">
        <f>P157/O157</f>
        <v>0.16222760290556903</v>
      </c>
      <c r="R157" s="15">
        <f>AVERAGE(IF(A157="Female",GETPIVOTDATA("tip %",$W$26,"sex","Female"),GETPIVOTDATA("tip %",$W$26,"sex","Male")),IF(K157=0,GETPIVOTDATA("tip %",$AA$26,"smoker","No"),GETPIVOTDATA("tip %",$AA$26,"smoker","Yes")),IF(C157=$W$33,GETPIVOTDATA("tip %",$W$32,"day","Thur"),IF(C157=$W$34,GETPIVOTDATA("tip %",$W$32,"day","Fri"),IF(C157=$W$35,GETPIVOTDATA("tip %",$W$32,"day","Sat"),IF(C157=$W$36,GETPIVOTDATA("tip %",$W$32,"day","Sun"),GETPIVOTDATA("tip %",$W$32))))),IF(D157=$AE$27,GETPIVOTDATA("tip %",$AE$26,"time","Dinner"),GETPIVOTDATA("tip %",$AE$26,"time","Lunch")),IF(N157=$AA$33,GETPIVOTDATA("Average of tip %",$AA$32,"size",1),IF(N157=$AA$34,GETPIVOTDATA("Average of tip %",$AA$32,"size",2),IF(N157=$AA$35,GETPIVOTDATA("Average of tip %",$AA$32,"size",3),IF(N157=$AA$36,GETPIVOTDATA("Average of tip %",$AA$32,"size",4),IF(N157=$AA$37,GETPIVOTDATA("Average of tip %",$AA$32,"size",5),GETPIVOTDATA("Average of tip %",$AA$32,"size",6)))))))</f>
        <v>0.15713459030916987</v>
      </c>
      <c r="S157" s="14">
        <f t="shared" si="6"/>
        <v>2.9552818213886538</v>
      </c>
      <c r="T157" s="17">
        <f t="shared" si="7"/>
        <v>3.2448292898843576</v>
      </c>
      <c r="U157" s="12">
        <f t="shared" si="8"/>
        <v>3.1000555556365059</v>
      </c>
    </row>
    <row r="158" spans="1:21" x14ac:dyDescent="0.2">
      <c r="A158" t="s">
        <v>11</v>
      </c>
      <c r="B158" t="s">
        <v>8</v>
      </c>
      <c r="C158" t="s">
        <v>21</v>
      </c>
      <c r="D158" t="s">
        <v>10</v>
      </c>
      <c r="E158">
        <v>2</v>
      </c>
      <c r="F158">
        <v>19.82</v>
      </c>
      <c r="G158">
        <v>3.18</v>
      </c>
      <c r="H158" s="5">
        <f>G158/F158</f>
        <v>0.16044399596367306</v>
      </c>
      <c r="J158" s="16">
        <f>IF(A158="Male",0, 1)</f>
        <v>0</v>
      </c>
      <c r="K158" s="13">
        <f>IF(B158="No",0, 1)</f>
        <v>0</v>
      </c>
      <c r="L158" s="13">
        <f>IF(C158="Mon",1,IF(C158="Tues",2,IF(C158="Wed",3,IF(C158="Thur",4,IF(C158="Fri",5,IF(C158="Sat",6,7))))))</f>
        <v>6</v>
      </c>
      <c r="M158" s="13">
        <f>IF(D158="Lunch",0,1)</f>
        <v>1</v>
      </c>
      <c r="N158" s="13">
        <v>4</v>
      </c>
      <c r="O158" s="13">
        <v>20.69</v>
      </c>
      <c r="P158" s="13">
        <v>2.4500000000000002</v>
      </c>
      <c r="Q158" s="15">
        <f>P158/O158</f>
        <v>0.11841469308844853</v>
      </c>
      <c r="R158" s="15">
        <f>AVERAGE(IF(A158="Female",GETPIVOTDATA("tip %",$W$26,"sex","Female"),GETPIVOTDATA("tip %",$W$26,"sex","Male")),IF(K158=0,GETPIVOTDATA("tip %",$AA$26,"smoker","No"),GETPIVOTDATA("tip %",$AA$26,"smoker","Yes")),IF(C158=$W$33,GETPIVOTDATA("tip %",$W$32,"day","Thur"),IF(C158=$W$34,GETPIVOTDATA("tip %",$W$32,"day","Fri"),IF(C158=$W$35,GETPIVOTDATA("tip %",$W$32,"day","Sat"),IF(C158=$W$36,GETPIVOTDATA("tip %",$W$32,"day","Sun"),GETPIVOTDATA("tip %",$W$32))))),IF(D158=$AE$27,GETPIVOTDATA("tip %",$AE$26,"time","Dinner"),GETPIVOTDATA("tip %",$AE$26,"time","Lunch")),IF(N158=$AA$33,GETPIVOTDATA("Average of tip %",$AA$32,"size",1),IF(N158=$AA$34,GETPIVOTDATA("Average of tip %",$AA$32,"size",2),IF(N158=$AA$35,GETPIVOTDATA("Average of tip %",$AA$32,"size",3),IF(N158=$AA$36,GETPIVOTDATA("Average of tip %",$AA$32,"size",4),IF(N158=$AA$37,GETPIVOTDATA("Average of tip %",$AA$32,"size",5),GETPIVOTDATA("Average of tip %",$AA$32,"size",6)))))))</f>
        <v>0.15511950414891634</v>
      </c>
      <c r="S158" s="14">
        <f t="shared" si="6"/>
        <v>2.9519107468319357</v>
      </c>
      <c r="T158" s="17">
        <f t="shared" si="7"/>
        <v>3.2094225408410795</v>
      </c>
      <c r="U158" s="12">
        <f t="shared" si="8"/>
        <v>3.0806666438365076</v>
      </c>
    </row>
    <row r="159" spans="1:21" x14ac:dyDescent="0.2">
      <c r="A159" t="s">
        <v>11</v>
      </c>
      <c r="B159" t="s">
        <v>22</v>
      </c>
      <c r="C159" t="s">
        <v>9</v>
      </c>
      <c r="D159" t="s">
        <v>10</v>
      </c>
      <c r="E159">
        <v>2</v>
      </c>
      <c r="F159">
        <v>31.85</v>
      </c>
      <c r="G159">
        <v>3.18</v>
      </c>
      <c r="H159" s="5">
        <f>G159/F159</f>
        <v>9.9843014128728411E-2</v>
      </c>
      <c r="J159" s="16">
        <f>IF(A159="Male",0, 1)</f>
        <v>0</v>
      </c>
      <c r="K159" s="13">
        <f>IF(B159="No",0, 1)</f>
        <v>1</v>
      </c>
      <c r="L159" s="13">
        <f>IF(C159="Mon",1,IF(C159="Tues",2,IF(C159="Wed",3,IF(C159="Thur",4,IF(C159="Fri",5,IF(C159="Sat",6,7))))))</f>
        <v>7</v>
      </c>
      <c r="M159" s="13">
        <f>IF(D159="Lunch",0,1)</f>
        <v>1</v>
      </c>
      <c r="N159" s="13">
        <v>5</v>
      </c>
      <c r="O159" s="13">
        <v>20.69</v>
      </c>
      <c r="P159" s="13">
        <v>5</v>
      </c>
      <c r="Q159" s="15">
        <f>P159/O159</f>
        <v>0.24166263895601739</v>
      </c>
      <c r="R159" s="15">
        <f>AVERAGE(IF(A159="Female",GETPIVOTDATA("tip %",$W$26,"sex","Female"),GETPIVOTDATA("tip %",$W$26,"sex","Male")),IF(K159=0,GETPIVOTDATA("tip %",$AA$26,"smoker","No"),GETPIVOTDATA("tip %",$AA$26,"smoker","Yes")),IF(C159=$W$33,GETPIVOTDATA("tip %",$W$32,"day","Thur"),IF(C159=$W$34,GETPIVOTDATA("tip %",$W$32,"day","Fri"),IF(C159=$W$35,GETPIVOTDATA("tip %",$W$32,"day","Sat"),IF(C159=$W$36,GETPIVOTDATA("tip %",$W$32,"day","Sun"),GETPIVOTDATA("tip %",$W$32))))),IF(D159=$AE$27,GETPIVOTDATA("tip %",$AE$26,"time","Dinner"),GETPIVOTDATA("tip %",$AE$26,"time","Lunch")),IF(N159=$AA$33,GETPIVOTDATA("Average of tip %",$AA$32,"size",1),IF(N159=$AA$34,GETPIVOTDATA("Average of tip %",$AA$32,"size",2),IF(N159=$AA$35,GETPIVOTDATA("Average of tip %",$AA$32,"size",3),IF(N159=$AA$36,GETPIVOTDATA("Average of tip %",$AA$32,"size",4),IF(N159=$AA$37,GETPIVOTDATA("Average of tip %",$AA$32,"size",5),GETPIVOTDATA("Average of tip %",$AA$32,"size",6)))))))</f>
        <v>0.15775143128470154</v>
      </c>
      <c r="S159" s="14">
        <f t="shared" si="6"/>
        <v>3.0076874475229554</v>
      </c>
      <c r="T159" s="17">
        <f t="shared" si="7"/>
        <v>3.2638771132804751</v>
      </c>
      <c r="U159" s="12">
        <f t="shared" si="8"/>
        <v>3.135782280401715</v>
      </c>
    </row>
    <row r="160" spans="1:21" x14ac:dyDescent="0.2">
      <c r="A160" t="s">
        <v>11</v>
      </c>
      <c r="B160" t="s">
        <v>22</v>
      </c>
      <c r="C160" t="s">
        <v>21</v>
      </c>
      <c r="D160" t="s">
        <v>10</v>
      </c>
      <c r="E160">
        <v>2</v>
      </c>
      <c r="F160">
        <v>20.29</v>
      </c>
      <c r="G160">
        <v>3.21</v>
      </c>
      <c r="H160" s="5">
        <f>G160/F160</f>
        <v>0.15820601281419419</v>
      </c>
      <c r="J160" s="16">
        <f>IF(A160="Male",0, 1)</f>
        <v>0</v>
      </c>
      <c r="K160" s="13">
        <f>IF(B160="No",0, 1)</f>
        <v>1</v>
      </c>
      <c r="L160" s="13">
        <f>IF(C160="Mon",1,IF(C160="Tues",2,IF(C160="Wed",3,IF(C160="Thur",4,IF(C160="Fri",5,IF(C160="Sat",6,7))))))</f>
        <v>6</v>
      </c>
      <c r="M160" s="13">
        <f>IF(D160="Lunch",0,1)</f>
        <v>1</v>
      </c>
      <c r="N160" s="13">
        <v>2</v>
      </c>
      <c r="O160" s="13">
        <v>20.76</v>
      </c>
      <c r="P160" s="13">
        <v>2.2400000000000002</v>
      </c>
      <c r="Q160" s="15">
        <f>P160/O160</f>
        <v>0.10789980732177264</v>
      </c>
      <c r="R160" s="15">
        <f>AVERAGE(IF(A160="Female",GETPIVOTDATA("tip %",$W$26,"sex","Female"),GETPIVOTDATA("tip %",$W$26,"sex","Male")),IF(K160=0,GETPIVOTDATA("tip %",$AA$26,"smoker","No"),GETPIVOTDATA("tip %",$AA$26,"smoker","Yes")),IF(C160=$W$33,GETPIVOTDATA("tip %",$W$32,"day","Thur"),IF(C160=$W$34,GETPIVOTDATA("tip %",$W$32,"day","Fri"),IF(C160=$W$35,GETPIVOTDATA("tip %",$W$32,"day","Sat"),IF(C160=$W$36,GETPIVOTDATA("tip %",$W$32,"day","Sun"),GETPIVOTDATA("tip %",$W$32))))),IF(D160=$AE$27,GETPIVOTDATA("tip %",$AE$26,"time","Dinner"),GETPIVOTDATA("tip %",$AE$26,"time","Lunch")),IF(N160=$AA$33,GETPIVOTDATA("Average of tip %",$AA$32,"size",1),IF(N160=$AA$34,GETPIVOTDATA("Average of tip %",$AA$32,"size",2),IF(N160=$AA$35,GETPIVOTDATA("Average of tip %",$AA$32,"size",3),IF(N160=$AA$36,GETPIVOTDATA("Average of tip %",$AA$32,"size",4),IF(N160=$AA$37,GETPIVOTDATA("Average of tip %",$AA$32,"size",5),GETPIVOTDATA("Average of tip %",$AA$32,"size",6)))))))</f>
        <v>0.15984705770871196</v>
      </c>
      <c r="S160" s="14">
        <f t="shared" si="6"/>
        <v>2.9552818213886538</v>
      </c>
      <c r="T160" s="17">
        <f t="shared" si="7"/>
        <v>3.3184249180328607</v>
      </c>
      <c r="U160" s="12">
        <f t="shared" si="8"/>
        <v>3.1368533697107575</v>
      </c>
    </row>
    <row r="161" spans="1:21" x14ac:dyDescent="0.2">
      <c r="A161" t="s">
        <v>11</v>
      </c>
      <c r="B161" t="s">
        <v>8</v>
      </c>
      <c r="C161" t="s">
        <v>9</v>
      </c>
      <c r="D161" t="s">
        <v>10</v>
      </c>
      <c r="E161">
        <v>2</v>
      </c>
      <c r="F161">
        <v>14.78</v>
      </c>
      <c r="G161">
        <v>3.23</v>
      </c>
      <c r="H161" s="5">
        <f>G161/F161</f>
        <v>0.21853856562922869</v>
      </c>
      <c r="J161" s="16">
        <f>IF(A161="Male",0, 1)</f>
        <v>0</v>
      </c>
      <c r="K161" s="13">
        <f>IF(B161="No",0, 1)</f>
        <v>0</v>
      </c>
      <c r="L161" s="13">
        <f>IF(C161="Mon",1,IF(C161="Tues",2,IF(C161="Wed",3,IF(C161="Thur",4,IF(C161="Fri",5,IF(C161="Sat",6,7))))))</f>
        <v>7</v>
      </c>
      <c r="M161" s="13">
        <f>IF(D161="Lunch",0,1)</f>
        <v>1</v>
      </c>
      <c r="N161" s="13">
        <v>3</v>
      </c>
      <c r="O161" s="13">
        <v>20.9</v>
      </c>
      <c r="P161" s="13">
        <v>3.5</v>
      </c>
      <c r="Q161" s="15">
        <f>P161/O161</f>
        <v>0.1674641148325359</v>
      </c>
      <c r="R161" s="15">
        <f>AVERAGE(IF(A161="Female",GETPIVOTDATA("tip %",$W$26,"sex","Female"),GETPIVOTDATA("tip %",$W$26,"sex","Male")),IF(K161=0,GETPIVOTDATA("tip %",$AA$26,"smoker","No"),GETPIVOTDATA("tip %",$AA$26,"smoker","Yes")),IF(C161=$W$33,GETPIVOTDATA("tip %",$W$32,"day","Thur"),IF(C161=$W$34,GETPIVOTDATA("tip %",$W$32,"day","Fri"),IF(C161=$W$35,GETPIVOTDATA("tip %",$W$32,"day","Sat"),IF(C161=$W$36,GETPIVOTDATA("tip %",$W$32,"day","Sun"),GETPIVOTDATA("tip %",$W$32))))),IF(D161=$AE$27,GETPIVOTDATA("tip %",$AE$26,"time","Dinner"),GETPIVOTDATA("tip %",$AE$26,"time","Lunch")),IF(N161=$AA$33,GETPIVOTDATA("Average of tip %",$AA$32,"size",1),IF(N161=$AA$34,GETPIVOTDATA("Average of tip %",$AA$32,"size",2),IF(N161=$AA$35,GETPIVOTDATA("Average of tip %",$AA$32,"size",3),IF(N161=$AA$36,GETPIVOTDATA("Average of tip %",$AA$32,"size",4),IF(N161=$AA$37,GETPIVOTDATA("Average of tip %",$AA$32,"size",5),GETPIVOTDATA("Average of tip %",$AA$32,"size",6)))))))</f>
        <v>0.15911018781030864</v>
      </c>
      <c r="S161" s="14">
        <f t="shared" si="6"/>
        <v>3.0043163729662368</v>
      </c>
      <c r="T161" s="17">
        <f t="shared" si="7"/>
        <v>3.3254029252354504</v>
      </c>
      <c r="U161" s="12">
        <f t="shared" si="8"/>
        <v>3.1648596491008436</v>
      </c>
    </row>
    <row r="162" spans="1:21" x14ac:dyDescent="0.2">
      <c r="A162" t="s">
        <v>7</v>
      </c>
      <c r="B162" t="s">
        <v>22</v>
      </c>
      <c r="C162" t="s">
        <v>23</v>
      </c>
      <c r="D162" t="s">
        <v>24</v>
      </c>
      <c r="E162">
        <v>3</v>
      </c>
      <c r="F162">
        <v>16.47</v>
      </c>
      <c r="G162">
        <v>3.23</v>
      </c>
      <c r="H162" s="5">
        <f>G162/F162</f>
        <v>0.19611414693381907</v>
      </c>
      <c r="J162" s="16">
        <f>IF(A162="Male",0, 1)</f>
        <v>1</v>
      </c>
      <c r="K162" s="13">
        <f>IF(B162="No",0, 1)</f>
        <v>1</v>
      </c>
      <c r="L162" s="13">
        <f>IF(C162="Mon",1,IF(C162="Tues",2,IF(C162="Wed",3,IF(C162="Thur",4,IF(C162="Fri",5,IF(C162="Sat",6,7))))))</f>
        <v>4</v>
      </c>
      <c r="M162" s="13">
        <f>IF(D162="Lunch",0,1)</f>
        <v>0</v>
      </c>
      <c r="N162" s="13">
        <v>2</v>
      </c>
      <c r="O162" s="13">
        <v>20.92</v>
      </c>
      <c r="P162" s="13">
        <v>4.08</v>
      </c>
      <c r="Q162" s="15">
        <f>P162/O162</f>
        <v>0.19502868068833651</v>
      </c>
      <c r="R162" s="15">
        <f>AVERAGE(IF(A162="Female",GETPIVOTDATA("tip %",$W$26,"sex","Female"),GETPIVOTDATA("tip %",$W$26,"sex","Male")),IF(K162=0,GETPIVOTDATA("tip %",$AA$26,"smoker","No"),GETPIVOTDATA("tip %",$AA$26,"smoker","Yes")),IF(C162=$W$33,GETPIVOTDATA("tip %",$W$32,"day","Thur"),IF(C162=$W$34,GETPIVOTDATA("tip %",$W$32,"day","Fri"),IF(C162=$W$35,GETPIVOTDATA("tip %",$W$32,"day","Sat"),IF(C162=$W$36,GETPIVOTDATA("tip %",$W$32,"day","Sun"),GETPIVOTDATA("tip %",$W$32))))),IF(D162=$AE$27,GETPIVOTDATA("tip %",$AE$26,"time","Dinner"),GETPIVOTDATA("tip %",$AE$26,"time","Lunch")),IF(N162=$AA$33,GETPIVOTDATA("Average of tip %",$AA$32,"size",1),IF(N162=$AA$34,GETPIVOTDATA("Average of tip %",$AA$32,"size",2),IF(N162=$AA$35,GETPIVOTDATA("Average of tip %",$AA$32,"size",3),IF(N162=$AA$36,GETPIVOTDATA("Average of tip %",$AA$32,"size",4),IF(N162=$AA$37,GETPIVOTDATA("Average of tip %",$AA$32,"size",5),GETPIVOTDATA("Average of tip %",$AA$32,"size",6)))))))</f>
        <v>0.16416190696595673</v>
      </c>
      <c r="S162" s="14">
        <f t="shared" si="6"/>
        <v>2.9469711392431215</v>
      </c>
      <c r="T162" s="17">
        <f t="shared" si="7"/>
        <v>3.434267093727815</v>
      </c>
      <c r="U162" s="12">
        <f t="shared" si="8"/>
        <v>3.1906191164854683</v>
      </c>
    </row>
    <row r="163" spans="1:21" x14ac:dyDescent="0.2">
      <c r="A163" t="s">
        <v>7</v>
      </c>
      <c r="B163" t="s">
        <v>8</v>
      </c>
      <c r="C163" t="s">
        <v>25</v>
      </c>
      <c r="D163" t="s">
        <v>10</v>
      </c>
      <c r="E163">
        <v>2</v>
      </c>
      <c r="F163">
        <v>22.75</v>
      </c>
      <c r="G163">
        <v>3.25</v>
      </c>
      <c r="H163" s="5">
        <f>G163/F163</f>
        <v>0.14285714285714285</v>
      </c>
      <c r="J163" s="16">
        <f>IF(A163="Male",0, 1)</f>
        <v>1</v>
      </c>
      <c r="K163" s="13">
        <f>IF(B163="No",0, 1)</f>
        <v>0</v>
      </c>
      <c r="L163" s="13">
        <f>IF(C163="Mon",1,IF(C163="Tues",2,IF(C163="Wed",3,IF(C163="Thur",4,IF(C163="Fri",5,IF(C163="Sat",6,7))))))</f>
        <v>5</v>
      </c>
      <c r="M163" s="13">
        <f>IF(D163="Lunch",0,1)</f>
        <v>1</v>
      </c>
      <c r="N163" s="13">
        <v>3</v>
      </c>
      <c r="O163" s="13">
        <v>21.01</v>
      </c>
      <c r="P163" s="13">
        <v>3.5</v>
      </c>
      <c r="Q163" s="15">
        <f>P163/O163</f>
        <v>0.16658733936220846</v>
      </c>
      <c r="R163" s="15">
        <f>AVERAGE(IF(A163="Female",GETPIVOTDATA("tip %",$W$26,"sex","Female"),GETPIVOTDATA("tip %",$W$26,"sex","Male")),IF(K163=0,GETPIVOTDATA("tip %",$AA$26,"smoker","No"),GETPIVOTDATA("tip %",$AA$26,"smoker","Yes")),IF(C163=$W$33,GETPIVOTDATA("tip %",$W$32,"day","Thur"),IF(C163=$W$34,GETPIVOTDATA("tip %",$W$32,"day","Fri"),IF(C163=$W$35,GETPIVOTDATA("tip %",$W$32,"day","Sat"),IF(C163=$W$36,GETPIVOTDATA("tip %",$W$32,"day","Sun"),GETPIVOTDATA("tip %",$W$32))))),IF(D163=$AE$27,GETPIVOTDATA("tip %",$AE$26,"time","Dinner"),GETPIVOTDATA("tip %",$AE$26,"time","Lunch")),IF(N163=$AA$33,GETPIVOTDATA("Average of tip %",$AA$32,"size",1),IF(N163=$AA$34,GETPIVOTDATA("Average of tip %",$AA$32,"size",2),IF(N163=$AA$35,GETPIVOTDATA("Average of tip %",$AA$32,"size",3),IF(N163=$AA$36,GETPIVOTDATA("Average of tip %",$AA$32,"size",4),IF(N163=$AA$37,GETPIVOTDATA("Average of tip %",$AA$32,"size",5),GETPIVOTDATA("Average of tip %",$AA$32,"size",6)))))))</f>
        <v>0.16148137415170294</v>
      </c>
      <c r="S163" s="14">
        <f t="shared" si="6"/>
        <v>2.8490035138912484</v>
      </c>
      <c r="T163" s="17">
        <f t="shared" si="7"/>
        <v>3.3927236709272788</v>
      </c>
      <c r="U163" s="12">
        <f t="shared" si="8"/>
        <v>3.1208635924092638</v>
      </c>
    </row>
    <row r="164" spans="1:21" x14ac:dyDescent="0.2">
      <c r="A164" t="s">
        <v>7</v>
      </c>
      <c r="B164" t="s">
        <v>8</v>
      </c>
      <c r="C164" t="s">
        <v>23</v>
      </c>
      <c r="D164" t="s">
        <v>24</v>
      </c>
      <c r="E164">
        <v>2</v>
      </c>
      <c r="F164">
        <v>18.260000000000002</v>
      </c>
      <c r="G164">
        <v>3.25</v>
      </c>
      <c r="H164" s="5">
        <f>G164/F164</f>
        <v>0.17798466593647316</v>
      </c>
      <c r="J164" s="16">
        <f>IF(A164="Male",0, 1)</f>
        <v>1</v>
      </c>
      <c r="K164" s="13">
        <f>IF(B164="No",0, 1)</f>
        <v>0</v>
      </c>
      <c r="L164" s="13">
        <f>IF(C164="Mon",1,IF(C164="Tues",2,IF(C164="Wed",3,IF(C164="Thur",4,IF(C164="Fri",5,IF(C164="Sat",6,7))))))</f>
        <v>4</v>
      </c>
      <c r="M164" s="13">
        <f>IF(D164="Lunch",0,1)</f>
        <v>0</v>
      </c>
      <c r="N164" s="13">
        <v>2</v>
      </c>
      <c r="O164" s="13">
        <v>21.01</v>
      </c>
      <c r="P164" s="13">
        <v>3</v>
      </c>
      <c r="Q164" s="15">
        <f>P164/O164</f>
        <v>0.1427891480247501</v>
      </c>
      <c r="R164" s="15">
        <f>AVERAGE(IF(A164="Female",GETPIVOTDATA("tip %",$W$26,"sex","Female"),GETPIVOTDATA("tip %",$W$26,"sex","Male")),IF(K164=0,GETPIVOTDATA("tip %",$AA$26,"smoker","No"),GETPIVOTDATA("tip %",$AA$26,"smoker","Yes")),IF(C164=$W$33,GETPIVOTDATA("tip %",$W$32,"day","Thur"),IF(C164=$W$34,GETPIVOTDATA("tip %",$W$32,"day","Fri"),IF(C164=$W$35,GETPIVOTDATA("tip %",$W$32,"day","Sat"),IF(C164=$W$36,GETPIVOTDATA("tip %",$W$32,"day","Sun"),GETPIVOTDATA("tip %",$W$32))))),IF(D164=$AE$27,GETPIVOTDATA("tip %",$AE$26,"time","Dinner"),GETPIVOTDATA("tip %",$AE$26,"time","Lunch")),IF(N164=$AA$33,GETPIVOTDATA("Average of tip %",$AA$32,"size",1),IF(N164=$AA$34,GETPIVOTDATA("Average of tip %",$AA$32,"size",2),IF(N164=$AA$35,GETPIVOTDATA("Average of tip %",$AA$32,"size",3),IF(N164=$AA$36,GETPIVOTDATA("Average of tip %",$AA$32,"size",4),IF(N164=$AA$37,GETPIVOTDATA("Average of tip %",$AA$32,"size",5),GETPIVOTDATA("Average of tip %",$AA$32,"size",6)))))))</f>
        <v>0.16338839047442422</v>
      </c>
      <c r="S164" s="14">
        <f t="shared" si="6"/>
        <v>2.7814300242005734</v>
      </c>
      <c r="T164" s="17">
        <f t="shared" si="7"/>
        <v>3.4327900838676531</v>
      </c>
      <c r="U164" s="12">
        <f t="shared" si="8"/>
        <v>3.1071100540341132</v>
      </c>
    </row>
    <row r="165" spans="1:21" x14ac:dyDescent="0.2">
      <c r="A165" t="s">
        <v>11</v>
      </c>
      <c r="B165" t="s">
        <v>8</v>
      </c>
      <c r="C165" t="s">
        <v>21</v>
      </c>
      <c r="D165" t="s">
        <v>10</v>
      </c>
      <c r="E165">
        <v>2</v>
      </c>
      <c r="F165">
        <v>17.78</v>
      </c>
      <c r="G165">
        <v>3.27</v>
      </c>
      <c r="H165" s="5">
        <f>G165/F165</f>
        <v>0.18391451068616421</v>
      </c>
      <c r="J165" s="16">
        <f>IF(A165="Male",0, 1)</f>
        <v>0</v>
      </c>
      <c r="K165" s="13">
        <f>IF(B165="No",0, 1)</f>
        <v>0</v>
      </c>
      <c r="L165" s="13">
        <f>IF(C165="Mon",1,IF(C165="Tues",2,IF(C165="Wed",3,IF(C165="Thur",4,IF(C165="Fri",5,IF(C165="Sat",6,7))))))</f>
        <v>6</v>
      </c>
      <c r="M165" s="13">
        <f>IF(D165="Lunch",0,1)</f>
        <v>1</v>
      </c>
      <c r="N165" s="13">
        <v>2</v>
      </c>
      <c r="O165" s="13">
        <v>21.16</v>
      </c>
      <c r="P165" s="13">
        <v>3</v>
      </c>
      <c r="Q165" s="15">
        <f>P165/O165</f>
        <v>0.14177693761814744</v>
      </c>
      <c r="R165" s="15">
        <f>AVERAGE(IF(A165="Female",GETPIVOTDATA("tip %",$W$26,"sex","Female"),GETPIVOTDATA("tip %",$W$26,"sex","Male")),IF(K165=0,GETPIVOTDATA("tip %",$AA$26,"smoker","No"),GETPIVOTDATA("tip %",$AA$26,"smoker","Yes")),IF(C165=$W$33,GETPIVOTDATA("tip %",$W$32,"day","Thur"),IF(C165=$W$34,GETPIVOTDATA("tip %",$W$32,"day","Fri"),IF(C165=$W$35,GETPIVOTDATA("tip %",$W$32,"day","Sat"),IF(C165=$W$36,GETPIVOTDATA("tip %",$W$32,"day","Sun"),GETPIVOTDATA("tip %",$W$32))))),IF(D165=$AE$27,GETPIVOTDATA("tip %",$AE$26,"time","Dinner"),GETPIVOTDATA("tip %",$AE$26,"time","Lunch")),IF(N165=$AA$33,GETPIVOTDATA("Average of tip %",$AA$32,"size",1),IF(N165=$AA$34,GETPIVOTDATA("Average of tip %",$AA$32,"size",2),IF(N165=$AA$35,GETPIVOTDATA("Average of tip %",$AA$32,"size",3),IF(N165=$AA$36,GETPIVOTDATA("Average of tip %",$AA$32,"size",4),IF(N165=$AA$37,GETPIVOTDATA("Average of tip %",$AA$32,"size",5),GETPIVOTDATA("Average of tip %",$AA$32,"size",6)))))))</f>
        <v>0.15907354121717945</v>
      </c>
      <c r="S165" s="14">
        <f t="shared" si="6"/>
        <v>2.9519107468319357</v>
      </c>
      <c r="T165" s="17">
        <f t="shared" si="7"/>
        <v>3.3659961321555172</v>
      </c>
      <c r="U165" s="12">
        <f t="shared" si="8"/>
        <v>3.1589534394937262</v>
      </c>
    </row>
    <row r="166" spans="1:21" x14ac:dyDescent="0.2">
      <c r="A166" t="s">
        <v>11</v>
      </c>
      <c r="B166" t="s">
        <v>8</v>
      </c>
      <c r="C166" t="s">
        <v>9</v>
      </c>
      <c r="D166" t="s">
        <v>10</v>
      </c>
      <c r="E166">
        <v>2</v>
      </c>
      <c r="F166">
        <v>23.68</v>
      </c>
      <c r="G166">
        <v>3.31</v>
      </c>
      <c r="H166" s="5">
        <f>G166/F166</f>
        <v>0.1397804054054054</v>
      </c>
      <c r="J166" s="16">
        <f>IF(A166="Male",0, 1)</f>
        <v>0</v>
      </c>
      <c r="K166" s="13">
        <f>IF(B166="No",0, 1)</f>
        <v>0</v>
      </c>
      <c r="L166" s="13">
        <f>IF(C166="Mon",1,IF(C166="Tues",2,IF(C166="Wed",3,IF(C166="Thur",4,IF(C166="Fri",5,IF(C166="Sat",6,7))))))</f>
        <v>7</v>
      </c>
      <c r="M166" s="13">
        <f>IF(D166="Lunch",0,1)</f>
        <v>1</v>
      </c>
      <c r="N166" s="13">
        <v>4</v>
      </c>
      <c r="O166" s="13">
        <v>21.5</v>
      </c>
      <c r="P166" s="13">
        <v>3.5</v>
      </c>
      <c r="Q166" s="15">
        <f>P166/O166</f>
        <v>0.16279069767441862</v>
      </c>
      <c r="R166" s="15">
        <f>AVERAGE(IF(A166="Female",GETPIVOTDATA("tip %",$W$26,"sex","Female"),GETPIVOTDATA("tip %",$W$26,"sex","Male")),IF(K166=0,GETPIVOTDATA("tip %",$AA$26,"smoker","No"),GETPIVOTDATA("tip %",$AA$26,"smoker","Yes")),IF(C166=$W$33,GETPIVOTDATA("tip %",$W$32,"day","Thur"),IF(C166=$W$34,GETPIVOTDATA("tip %",$W$32,"day","Fri"),IF(C166=$W$35,GETPIVOTDATA("tip %",$W$32,"day","Sat"),IF(C166=$W$36,GETPIVOTDATA("tip %",$W$32,"day","Sun"),GETPIVOTDATA("tip %",$W$32))))),IF(D166=$AE$27,GETPIVOTDATA("tip %",$AE$26,"time","Dinner"),GETPIVOTDATA("tip %",$AE$26,"time","Lunch")),IF(N166=$AA$33,GETPIVOTDATA("Average of tip %",$AA$32,"size",1),IF(N166=$AA$34,GETPIVOTDATA("Average of tip %",$AA$32,"size",2),IF(N166=$AA$35,GETPIVOTDATA("Average of tip %",$AA$32,"size",3),IF(N166=$AA$36,GETPIVOTDATA("Average of tip %",$AA$32,"size",4),IF(N166=$AA$37,GETPIVOTDATA("Average of tip %",$AA$32,"size",5),GETPIVOTDATA("Average of tip %",$AA$32,"size",6)))))))</f>
        <v>0.15786861814158762</v>
      </c>
      <c r="S166" s="14">
        <f t="shared" si="6"/>
        <v>3.0043163729662368</v>
      </c>
      <c r="T166" s="17">
        <f t="shared" si="7"/>
        <v>3.3941752900441338</v>
      </c>
      <c r="U166" s="12">
        <f t="shared" si="8"/>
        <v>3.199245831505185</v>
      </c>
    </row>
    <row r="167" spans="1:21" x14ac:dyDescent="0.2">
      <c r="A167" t="s">
        <v>11</v>
      </c>
      <c r="B167" t="s">
        <v>8</v>
      </c>
      <c r="C167" t="s">
        <v>21</v>
      </c>
      <c r="D167" t="s">
        <v>10</v>
      </c>
      <c r="E167">
        <v>3</v>
      </c>
      <c r="F167">
        <v>20.65</v>
      </c>
      <c r="G167">
        <v>3.35</v>
      </c>
      <c r="H167" s="5">
        <f>G167/F167</f>
        <v>0.16222760290556903</v>
      </c>
      <c r="J167" s="16">
        <f>IF(A167="Male",0, 1)</f>
        <v>0</v>
      </c>
      <c r="K167" s="13">
        <f>IF(B167="No",0, 1)</f>
        <v>0</v>
      </c>
      <c r="L167" s="13">
        <f>IF(C167="Mon",1,IF(C167="Tues",2,IF(C167="Wed",3,IF(C167="Thur",4,IF(C167="Fri",5,IF(C167="Sat",6,7))))))</f>
        <v>6</v>
      </c>
      <c r="M167" s="13">
        <f>IF(D167="Lunch",0,1)</f>
        <v>1</v>
      </c>
      <c r="N167" s="13">
        <v>2</v>
      </c>
      <c r="O167" s="13">
        <v>21.58</v>
      </c>
      <c r="P167" s="13">
        <v>3.92</v>
      </c>
      <c r="Q167" s="15">
        <f>P167/O167</f>
        <v>0.18164967562557924</v>
      </c>
      <c r="R167" s="15">
        <f>AVERAGE(IF(A167="Female",GETPIVOTDATA("tip %",$W$26,"sex","Female"),GETPIVOTDATA("tip %",$W$26,"sex","Male")),IF(K167=0,GETPIVOTDATA("tip %",$AA$26,"smoker","No"),GETPIVOTDATA("tip %",$AA$26,"smoker","Yes")),IF(C167=$W$33,GETPIVOTDATA("tip %",$W$32,"day","Thur"),IF(C167=$W$34,GETPIVOTDATA("tip %",$W$32,"day","Fri"),IF(C167=$W$35,GETPIVOTDATA("tip %",$W$32,"day","Sat"),IF(C167=$W$36,GETPIVOTDATA("tip %",$W$32,"day","Sun"),GETPIVOTDATA("tip %",$W$32))))),IF(D167=$AE$27,GETPIVOTDATA("tip %",$AE$26,"time","Dinner"),GETPIVOTDATA("tip %",$AE$26,"time","Lunch")),IF(N167=$AA$33,GETPIVOTDATA("Average of tip %",$AA$32,"size",1),IF(N167=$AA$34,GETPIVOTDATA("Average of tip %",$AA$32,"size",2),IF(N167=$AA$35,GETPIVOTDATA("Average of tip %",$AA$32,"size",3),IF(N167=$AA$36,GETPIVOTDATA("Average of tip %",$AA$32,"size",4),IF(N167=$AA$37,GETPIVOTDATA("Average of tip %",$AA$32,"size",5),GETPIVOTDATA("Average of tip %",$AA$32,"size",6)))))))</f>
        <v>0.15907354121717945</v>
      </c>
      <c r="S167" s="14">
        <f t="shared" si="6"/>
        <v>3.1140807873177652</v>
      </c>
      <c r="T167" s="17">
        <f t="shared" si="7"/>
        <v>3.4328070194667322</v>
      </c>
      <c r="U167" s="12">
        <f t="shared" si="8"/>
        <v>3.2734439033922484</v>
      </c>
    </row>
    <row r="168" spans="1:21" x14ac:dyDescent="0.2">
      <c r="A168" t="s">
        <v>11</v>
      </c>
      <c r="B168" t="s">
        <v>8</v>
      </c>
      <c r="C168" t="s">
        <v>21</v>
      </c>
      <c r="D168" t="s">
        <v>10</v>
      </c>
      <c r="E168">
        <v>2</v>
      </c>
      <c r="F168">
        <v>11.61</v>
      </c>
      <c r="G168">
        <v>3.39</v>
      </c>
      <c r="H168" s="5">
        <f>G168/F168</f>
        <v>0.29198966408268734</v>
      </c>
      <c r="J168" s="16">
        <f>IF(A168="Male",0, 1)</f>
        <v>0</v>
      </c>
      <c r="K168" s="13">
        <f>IF(B168="No",0, 1)</f>
        <v>0</v>
      </c>
      <c r="L168" s="13">
        <f>IF(C168="Mon",1,IF(C168="Tues",2,IF(C168="Wed",3,IF(C168="Thur",4,IF(C168="Fri",5,IF(C168="Sat",6,7))))))</f>
        <v>6</v>
      </c>
      <c r="M168" s="13">
        <f>IF(D168="Lunch",0,1)</f>
        <v>1</v>
      </c>
      <c r="N168" s="13">
        <v>2</v>
      </c>
      <c r="O168" s="13">
        <v>21.7</v>
      </c>
      <c r="P168" s="13">
        <v>4.3</v>
      </c>
      <c r="Q168" s="15">
        <f>P168/O168</f>
        <v>0.19815668202764977</v>
      </c>
      <c r="R168" s="15">
        <f>AVERAGE(IF(A168="Female",GETPIVOTDATA("tip %",$W$26,"sex","Female"),GETPIVOTDATA("tip %",$W$26,"sex","Male")),IF(K168=0,GETPIVOTDATA("tip %",$AA$26,"smoker","No"),GETPIVOTDATA("tip %",$AA$26,"smoker","Yes")),IF(C168=$W$33,GETPIVOTDATA("tip %",$W$32,"day","Thur"),IF(C168=$W$34,GETPIVOTDATA("tip %",$W$32,"day","Fri"),IF(C168=$W$35,GETPIVOTDATA("tip %",$W$32,"day","Sat"),IF(C168=$W$36,GETPIVOTDATA("tip %",$W$32,"day","Sun"),GETPIVOTDATA("tip %",$W$32))))),IF(D168=$AE$27,GETPIVOTDATA("tip %",$AE$26,"time","Dinner"),GETPIVOTDATA("tip %",$AE$26,"time","Lunch")),IF(N168=$AA$33,GETPIVOTDATA("Average of tip %",$AA$32,"size",1),IF(N168=$AA$34,GETPIVOTDATA("Average of tip %",$AA$32,"size",2),IF(N168=$AA$35,GETPIVOTDATA("Average of tip %",$AA$32,"size",3),IF(N168=$AA$36,GETPIVOTDATA("Average of tip %",$AA$32,"size",4),IF(N168=$AA$37,GETPIVOTDATA("Average of tip %",$AA$32,"size",5),GETPIVOTDATA("Average of tip %",$AA$32,"size",6)))))))</f>
        <v>0.15907354121717945</v>
      </c>
      <c r="S168" s="14">
        <f t="shared" si="6"/>
        <v>2.9519107468319357</v>
      </c>
      <c r="T168" s="17">
        <f t="shared" si="7"/>
        <v>3.4518958444127938</v>
      </c>
      <c r="U168" s="12">
        <f t="shared" si="8"/>
        <v>3.2019032956223645</v>
      </c>
    </row>
    <row r="169" spans="1:21" x14ac:dyDescent="0.2">
      <c r="A169" t="s">
        <v>11</v>
      </c>
      <c r="B169" t="s">
        <v>8</v>
      </c>
      <c r="C169" t="s">
        <v>23</v>
      </c>
      <c r="D169" t="s">
        <v>24</v>
      </c>
      <c r="E169">
        <v>2</v>
      </c>
      <c r="F169">
        <v>16.66</v>
      </c>
      <c r="G169">
        <v>3.4</v>
      </c>
      <c r="H169" s="5">
        <f>G169/F169</f>
        <v>0.20408163265306123</v>
      </c>
      <c r="J169" s="16">
        <f>IF(A169="Male",0, 1)</f>
        <v>0</v>
      </c>
      <c r="K169" s="13">
        <f>IF(B169="No",0, 1)</f>
        <v>0</v>
      </c>
      <c r="L169" s="13">
        <f>IF(C169="Mon",1,IF(C169="Tues",2,IF(C169="Wed",3,IF(C169="Thur",4,IF(C169="Fri",5,IF(C169="Sat",6,7))))))</f>
        <v>4</v>
      </c>
      <c r="M169" s="13">
        <f>IF(D169="Lunch",0,1)</f>
        <v>0</v>
      </c>
      <c r="N169" s="13">
        <v>2</v>
      </c>
      <c r="O169" s="13">
        <v>22.12</v>
      </c>
      <c r="P169" s="13">
        <v>2.88</v>
      </c>
      <c r="Q169" s="15">
        <f>P169/O169</f>
        <v>0.13019891500904157</v>
      </c>
      <c r="R169" s="15">
        <f>AVERAGE(IF(A169="Female",GETPIVOTDATA("tip %",$W$26,"sex","Female"),GETPIVOTDATA("tip %",$W$26,"sex","Male")),IF(K169=0,GETPIVOTDATA("tip %",$AA$26,"smoker","No"),GETPIVOTDATA("tip %",$AA$26,"smoker","Yes")),IF(C169=$W$33,GETPIVOTDATA("tip %",$W$32,"day","Thur"),IF(C169=$W$34,GETPIVOTDATA("tip %",$W$32,"day","Fri"),IF(C169=$W$35,GETPIVOTDATA("tip %",$W$32,"day","Sat"),IF(C169=$W$36,GETPIVOTDATA("tip %",$W$32,"day","Sun"),GETPIVOTDATA("tip %",$W$32))))),IF(D169=$AE$27,GETPIVOTDATA("tip %",$AE$26,"time","Dinner"),GETPIVOTDATA("tip %",$AE$26,"time","Lunch")),IF(N169=$AA$33,GETPIVOTDATA("Average of tip %",$AA$32,"size",1),IF(N169=$AA$34,GETPIVOTDATA("Average of tip %",$AA$32,"size",2),IF(N169=$AA$35,GETPIVOTDATA("Average of tip %",$AA$32,"size",3),IF(N169=$AA$36,GETPIVOTDATA("Average of tip %",$AA$32,"size",4),IF(N169=$AA$37,GETPIVOTDATA("Average of tip %",$AA$32,"size",5),GETPIVOTDATA("Average of tip %",$AA$32,"size",6)))))))</f>
        <v>0.16162035260949875</v>
      </c>
      <c r="S169" s="14">
        <f t="shared" si="6"/>
        <v>2.8326639359071408</v>
      </c>
      <c r="T169" s="17">
        <f t="shared" si="7"/>
        <v>3.5750421997221125</v>
      </c>
      <c r="U169" s="12">
        <f t="shared" si="8"/>
        <v>3.2038530678146264</v>
      </c>
    </row>
    <row r="170" spans="1:21" x14ac:dyDescent="0.2">
      <c r="A170" t="s">
        <v>11</v>
      </c>
      <c r="B170" t="s">
        <v>22</v>
      </c>
      <c r="C170" t="s">
        <v>21</v>
      </c>
      <c r="D170" t="s">
        <v>10</v>
      </c>
      <c r="E170">
        <v>3</v>
      </c>
      <c r="F170">
        <v>26.59</v>
      </c>
      <c r="G170">
        <v>3.41</v>
      </c>
      <c r="H170" s="5">
        <f>G170/F170</f>
        <v>0.1282437006393381</v>
      </c>
      <c r="J170" s="16">
        <f>IF(A170="Male",0, 1)</f>
        <v>0</v>
      </c>
      <c r="K170" s="13">
        <f>IF(B170="No",0, 1)</f>
        <v>1</v>
      </c>
      <c r="L170" s="13">
        <f>IF(C170="Mon",1,IF(C170="Tues",2,IF(C170="Wed",3,IF(C170="Thur",4,IF(C170="Fri",5,IF(C170="Sat",6,7))))))</f>
        <v>6</v>
      </c>
      <c r="M170" s="13">
        <f>IF(D170="Lunch",0,1)</f>
        <v>1</v>
      </c>
      <c r="N170" s="13">
        <v>2</v>
      </c>
      <c r="O170" s="13">
        <v>22.23</v>
      </c>
      <c r="P170" s="13">
        <v>5</v>
      </c>
      <c r="Q170" s="15">
        <f>P170/O170</f>
        <v>0.22492127755285649</v>
      </c>
      <c r="R170" s="15">
        <f>AVERAGE(IF(A170="Female",GETPIVOTDATA("tip %",$W$26,"sex","Female"),GETPIVOTDATA("tip %",$W$26,"sex","Male")),IF(K170=0,GETPIVOTDATA("tip %",$AA$26,"smoker","No"),GETPIVOTDATA("tip %",$AA$26,"smoker","Yes")),IF(C170=$W$33,GETPIVOTDATA("tip %",$W$32,"day","Thur"),IF(C170=$W$34,GETPIVOTDATA("tip %",$W$32,"day","Fri"),IF(C170=$W$35,GETPIVOTDATA("tip %",$W$32,"day","Sat"),IF(C170=$W$36,GETPIVOTDATA("tip %",$W$32,"day","Sun"),GETPIVOTDATA("tip %",$W$32))))),IF(D170=$AE$27,GETPIVOTDATA("tip %",$AE$26,"time","Dinner"),GETPIVOTDATA("tip %",$AE$26,"time","Lunch")),IF(N170=$AA$33,GETPIVOTDATA("Average of tip %",$AA$32,"size",1),IF(N170=$AA$34,GETPIVOTDATA("Average of tip %",$AA$32,"size",2),IF(N170=$AA$35,GETPIVOTDATA("Average of tip %",$AA$32,"size",3),IF(N170=$AA$36,GETPIVOTDATA("Average of tip %",$AA$32,"size",4),IF(N170=$AA$37,GETPIVOTDATA("Average of tip %",$AA$32,"size",5),GETPIVOTDATA("Average of tip %",$AA$32,"size",6)))))))</f>
        <v>0.15984705770871196</v>
      </c>
      <c r="S170" s="14">
        <f t="shared" si="6"/>
        <v>3.1174518618744838</v>
      </c>
      <c r="T170" s="17">
        <f t="shared" si="7"/>
        <v>3.553400092864667</v>
      </c>
      <c r="U170" s="12">
        <f t="shared" si="8"/>
        <v>3.3354259773695754</v>
      </c>
    </row>
    <row r="171" spans="1:21" x14ac:dyDescent="0.2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22.42</v>
      </c>
      <c r="G171">
        <v>3.48</v>
      </c>
      <c r="H171" s="5">
        <f>G171/F171</f>
        <v>0.15521855486173058</v>
      </c>
      <c r="J171" s="16">
        <f>IF(A171="Male",0, 1)</f>
        <v>1</v>
      </c>
      <c r="K171" s="13">
        <f>IF(B171="No",0, 1)</f>
        <v>1</v>
      </c>
      <c r="L171" s="13">
        <f>IF(C171="Mon",1,IF(C171="Tues",2,IF(C171="Wed",3,IF(C171="Thur",4,IF(C171="Fri",5,IF(C171="Sat",6,7))))))</f>
        <v>6</v>
      </c>
      <c r="M171" s="13">
        <f>IF(D171="Lunch",0,1)</f>
        <v>1</v>
      </c>
      <c r="N171" s="13">
        <v>2</v>
      </c>
      <c r="O171" s="13">
        <v>22.42</v>
      </c>
      <c r="P171" s="13">
        <v>3.48</v>
      </c>
      <c r="Q171" s="15">
        <f>P171/O171</f>
        <v>0.15521855486173058</v>
      </c>
      <c r="R171" s="15">
        <f>AVERAGE(IF(A171="Female",GETPIVOTDATA("tip %",$W$26,"sex","Female"),GETPIVOTDATA("tip %",$W$26,"sex","Male")),IF(K171=0,GETPIVOTDATA("tip %",$AA$26,"smoker","No"),GETPIVOTDATA("tip %",$AA$26,"smoker","Yes")),IF(C171=$W$33,GETPIVOTDATA("tip %",$W$32,"day","Thur"),IF(C171=$W$34,GETPIVOTDATA("tip %",$W$32,"day","Fri"),IF(C171=$W$35,GETPIVOTDATA("tip %",$W$32,"day","Sat"),IF(C171=$W$36,GETPIVOTDATA("tip %",$W$32,"day","Sun"),GETPIVOTDATA("tip %",$W$32))))),IF(D171=$AE$27,GETPIVOTDATA("tip %",$AE$26,"time","Dinner"),GETPIVOTDATA("tip %",$AE$26,"time","Lunch")),IF(N171=$AA$33,GETPIVOTDATA("Average of tip %",$AA$32,"size",1),IF(N171=$AA$34,GETPIVOTDATA("Average of tip %",$AA$32,"size",2),IF(N171=$AA$35,GETPIVOTDATA("Average of tip %",$AA$32,"size",3),IF(N171=$AA$36,GETPIVOTDATA("Average of tip %",$AA$32,"size",4),IF(N171=$AA$37,GETPIVOTDATA("Average of tip %",$AA$32,"size",5),GETPIVOTDATA("Average of tip %",$AA$32,"size",6)))))))</f>
        <v>0.16161509557363743</v>
      </c>
      <c r="S171" s="14">
        <f t="shared" si="6"/>
        <v>2.9040479096820868</v>
      </c>
      <c r="T171" s="17">
        <f t="shared" si="7"/>
        <v>3.6234104427609513</v>
      </c>
      <c r="U171" s="12">
        <f t="shared" si="8"/>
        <v>3.2637291762215188</v>
      </c>
    </row>
    <row r="172" spans="1:21" x14ac:dyDescent="0.2">
      <c r="A172" t="s">
        <v>7</v>
      </c>
      <c r="B172" t="s">
        <v>22</v>
      </c>
      <c r="C172" t="s">
        <v>25</v>
      </c>
      <c r="D172" t="s">
        <v>24</v>
      </c>
      <c r="E172">
        <v>2</v>
      </c>
      <c r="F172">
        <v>13.42</v>
      </c>
      <c r="G172">
        <v>3.48</v>
      </c>
      <c r="H172" s="5">
        <f>G172/F172</f>
        <v>0.25931445603576753</v>
      </c>
      <c r="J172" s="16">
        <f>IF(A172="Male",0, 1)</f>
        <v>1</v>
      </c>
      <c r="K172" s="13">
        <f>IF(B172="No",0, 1)</f>
        <v>1</v>
      </c>
      <c r="L172" s="13">
        <f>IF(C172="Mon",1,IF(C172="Tues",2,IF(C172="Wed",3,IF(C172="Thur",4,IF(C172="Fri",5,IF(C172="Sat",6,7))))))</f>
        <v>5</v>
      </c>
      <c r="M172" s="13">
        <f>IF(D172="Lunch",0,1)</f>
        <v>0</v>
      </c>
      <c r="N172" s="13">
        <v>2</v>
      </c>
      <c r="O172" s="13">
        <v>22.49</v>
      </c>
      <c r="P172" s="13">
        <v>3.5</v>
      </c>
      <c r="Q172" s="15">
        <f>P172/O172</f>
        <v>0.15562472209871056</v>
      </c>
      <c r="R172" s="15">
        <f>AVERAGE(IF(A172="Female",GETPIVOTDATA("tip %",$W$26,"sex","Female"),GETPIVOTDATA("tip %",$W$26,"sex","Male")),IF(K172=0,GETPIVOTDATA("tip %",$AA$26,"smoker","No"),GETPIVOTDATA("tip %",$AA$26,"smoker","Yes")),IF(C172=$W$33,GETPIVOTDATA("tip %",$W$32,"day","Thur"),IF(C172=$W$34,GETPIVOTDATA("tip %",$W$32,"day","Fri"),IF(C172=$W$35,GETPIVOTDATA("tip %",$W$32,"day","Sat"),IF(C172=$W$36,GETPIVOTDATA("tip %",$W$32,"day","Sun"),GETPIVOTDATA("tip %",$W$32))))),IF(D172=$AE$27,GETPIVOTDATA("tip %",$AE$26,"time","Dinner"),GETPIVOTDATA("tip %",$AE$26,"time","Lunch")),IF(N172=$AA$33,GETPIVOTDATA("Average of tip %",$AA$32,"size",1),IF(N172=$AA$34,GETPIVOTDATA("Average of tip %",$AA$32,"size",2),IF(N172=$AA$35,GETPIVOTDATA("Average of tip %",$AA$32,"size",3),IF(N172=$AA$36,GETPIVOTDATA("Average of tip %",$AA$32,"size",4),IF(N172=$AA$37,GETPIVOTDATA("Average of tip %",$AA$32,"size",5),GETPIVOTDATA("Average of tip %",$AA$32,"size",6)))))))</f>
        <v>0.16588938591932306</v>
      </c>
      <c r="S172" s="14">
        <f t="shared" si="6"/>
        <v>2.7774581445976994</v>
      </c>
      <c r="T172" s="17">
        <f t="shared" si="7"/>
        <v>3.7308522893255756</v>
      </c>
      <c r="U172" s="12">
        <f t="shared" si="8"/>
        <v>3.2541552169616375</v>
      </c>
    </row>
    <row r="173" spans="1:21" x14ac:dyDescent="0.2">
      <c r="A173" t="s">
        <v>11</v>
      </c>
      <c r="B173" t="s">
        <v>8</v>
      </c>
      <c r="C173" t="s">
        <v>9</v>
      </c>
      <c r="D173" t="s">
        <v>10</v>
      </c>
      <c r="E173">
        <v>3</v>
      </c>
      <c r="F173">
        <v>24.52</v>
      </c>
      <c r="G173">
        <v>3.48</v>
      </c>
      <c r="H173" s="5">
        <f>G173/F173</f>
        <v>0.14192495921696574</v>
      </c>
      <c r="J173" s="16">
        <f>IF(A173="Male",0, 1)</f>
        <v>0</v>
      </c>
      <c r="K173" s="13">
        <f>IF(B173="No",0, 1)</f>
        <v>0</v>
      </c>
      <c r="L173" s="13">
        <f>IF(C173="Mon",1,IF(C173="Tues",2,IF(C173="Wed",3,IF(C173="Thur",4,IF(C173="Fri",5,IF(C173="Sat",6,7))))))</f>
        <v>7</v>
      </c>
      <c r="M173" s="13">
        <f>IF(D173="Lunch",0,1)</f>
        <v>1</v>
      </c>
      <c r="N173" s="13">
        <v>2</v>
      </c>
      <c r="O173" s="13">
        <v>22.67</v>
      </c>
      <c r="P173" s="13">
        <v>2</v>
      </c>
      <c r="Q173" s="15">
        <f>P173/O173</f>
        <v>8.8222320247022493E-2</v>
      </c>
      <c r="R173" s="15">
        <f>AVERAGE(IF(A173="Female",GETPIVOTDATA("tip %",$W$26,"sex","Female"),GETPIVOTDATA("tip %",$W$26,"sex","Male")),IF(K173=0,GETPIVOTDATA("tip %",$AA$26,"smoker","No"),GETPIVOTDATA("tip %",$AA$26,"smoker","Yes")),IF(C173=$W$33,GETPIVOTDATA("tip %",$W$32,"day","Thur"),IF(C173=$W$34,GETPIVOTDATA("tip %",$W$32,"day","Fri"),IF(C173=$W$35,GETPIVOTDATA("tip %",$W$32,"day","Sat"),IF(C173=$W$36,GETPIVOTDATA("tip %",$W$32,"day","Sun"),GETPIVOTDATA("tip %",$W$32))))),IF(D173=$AE$27,GETPIVOTDATA("tip %",$AE$26,"time","Dinner"),GETPIVOTDATA("tip %",$AE$26,"time","Lunch")),IF(N173=$AA$33,GETPIVOTDATA("Average of tip %",$AA$32,"size",1),IF(N173=$AA$34,GETPIVOTDATA("Average of tip %",$AA$32,"size",2),IF(N173=$AA$35,GETPIVOTDATA("Average of tip %",$AA$32,"size",3),IF(N173=$AA$36,GETPIVOTDATA("Average of tip %",$AA$32,"size",4),IF(N173=$AA$37,GETPIVOTDATA("Average of tip %",$AA$32,"size",5),GETPIVOTDATA("Average of tip %",$AA$32,"size",6)))))))</f>
        <v>0.16182265520985073</v>
      </c>
      <c r="S173" s="14">
        <f t="shared" si="6"/>
        <v>3.1664864134520667</v>
      </c>
      <c r="T173" s="17">
        <f t="shared" si="7"/>
        <v>3.6685195936073165</v>
      </c>
      <c r="U173" s="12">
        <f t="shared" si="8"/>
        <v>3.4175030035296916</v>
      </c>
    </row>
    <row r="174" spans="1:21" x14ac:dyDescent="0.2">
      <c r="A174" t="s">
        <v>11</v>
      </c>
      <c r="B174" t="s">
        <v>8</v>
      </c>
      <c r="C174" t="s">
        <v>25</v>
      </c>
      <c r="D174" t="s">
        <v>10</v>
      </c>
      <c r="E174">
        <v>2</v>
      </c>
      <c r="F174">
        <v>22.49</v>
      </c>
      <c r="G174">
        <v>3.5</v>
      </c>
      <c r="H174" s="5">
        <f>G174/F174</f>
        <v>0.15562472209871056</v>
      </c>
      <c r="J174" s="16">
        <f>IF(A174="Male",0, 1)</f>
        <v>0</v>
      </c>
      <c r="K174" s="13">
        <f>IF(B174="No",0, 1)</f>
        <v>0</v>
      </c>
      <c r="L174" s="13">
        <f>IF(C174="Mon",1,IF(C174="Tues",2,IF(C174="Wed",3,IF(C174="Thur",4,IF(C174="Fri",5,IF(C174="Sat",6,7))))))</f>
        <v>5</v>
      </c>
      <c r="M174" s="13">
        <f>IF(D174="Lunch",0,1)</f>
        <v>1</v>
      </c>
      <c r="N174" s="13">
        <v>2</v>
      </c>
      <c r="O174" s="13">
        <v>22.75</v>
      </c>
      <c r="P174" s="13">
        <v>3.25</v>
      </c>
      <c r="Q174" s="15">
        <f>P174/O174</f>
        <v>0.14285714285714285</v>
      </c>
      <c r="R174" s="15">
        <f>AVERAGE(IF(A174="Female",GETPIVOTDATA("tip %",$W$26,"sex","Female"),GETPIVOTDATA("tip %",$W$26,"sex","Male")),IF(K174=0,GETPIVOTDATA("tip %",$AA$26,"smoker","No"),GETPIVOTDATA("tip %",$AA$26,"smoker","Yes")),IF(C174=$W$33,GETPIVOTDATA("tip %",$W$32,"day","Thur"),IF(C174=$W$34,GETPIVOTDATA("tip %",$W$32,"day","Fri"),IF(C174=$W$35,GETPIVOTDATA("tip %",$W$32,"day","Sat"),IF(C174=$W$36,GETPIVOTDATA("tip %",$W$32,"day","Sun"),GETPIVOTDATA("tip %",$W$32))))),IF(D174=$AE$27,GETPIVOTDATA("tip %",$AE$26,"time","Dinner"),GETPIVOTDATA("tip %",$AE$26,"time","Lunch")),IF(N174=$AA$33,GETPIVOTDATA("Average of tip %",$AA$32,"size",1),IF(N174=$AA$34,GETPIVOTDATA("Average of tip %",$AA$32,"size",2),IF(N174=$AA$35,GETPIVOTDATA("Average of tip %",$AA$32,"size",3),IF(N174=$AA$36,GETPIVOTDATA("Average of tip %",$AA$32,"size",4),IF(N174=$AA$37,GETPIVOTDATA("Average of tip %",$AA$32,"size",5),GETPIVOTDATA("Average of tip %",$AA$32,"size",6)))))))</f>
        <v>0.16242580368631959</v>
      </c>
      <c r="S174" s="14">
        <f t="shared" si="6"/>
        <v>2.9002374255978154</v>
      </c>
      <c r="T174" s="17">
        <f t="shared" si="7"/>
        <v>3.6951870338637707</v>
      </c>
      <c r="U174" s="12">
        <f t="shared" si="8"/>
        <v>3.2977122297307933</v>
      </c>
    </row>
    <row r="175" spans="1:21" x14ac:dyDescent="0.2">
      <c r="A175" t="s">
        <v>7</v>
      </c>
      <c r="B175" t="s">
        <v>8</v>
      </c>
      <c r="C175" t="s">
        <v>9</v>
      </c>
      <c r="D175" t="s">
        <v>10</v>
      </c>
      <c r="E175">
        <v>2</v>
      </c>
      <c r="F175">
        <v>17.309999999999999</v>
      </c>
      <c r="G175">
        <v>3.5</v>
      </c>
      <c r="H175" s="5">
        <f>G175/F175</f>
        <v>0.20219526285384173</v>
      </c>
      <c r="J175" s="16">
        <f>IF(A175="Male",0, 1)</f>
        <v>1</v>
      </c>
      <c r="K175" s="13">
        <f>IF(B175="No",0, 1)</f>
        <v>0</v>
      </c>
      <c r="L175" s="13">
        <f>IF(C175="Mon",1,IF(C175="Tues",2,IF(C175="Wed",3,IF(C175="Thur",4,IF(C175="Fri",5,IF(C175="Sat",6,7))))))</f>
        <v>7</v>
      </c>
      <c r="M175" s="13">
        <f>IF(D175="Lunch",0,1)</f>
        <v>1</v>
      </c>
      <c r="N175" s="13">
        <v>2</v>
      </c>
      <c r="O175" s="13">
        <v>22.76</v>
      </c>
      <c r="P175" s="13">
        <v>3</v>
      </c>
      <c r="Q175" s="15">
        <f>P175/O175</f>
        <v>0.13181019332161686</v>
      </c>
      <c r="R175" s="15">
        <f>AVERAGE(IF(A175="Female",GETPIVOTDATA("tip %",$W$26,"sex","Female"),GETPIVOTDATA("tip %",$W$26,"sex","Male")),IF(K175=0,GETPIVOTDATA("tip %",$AA$26,"smoker","No"),GETPIVOTDATA("tip %",$AA$26,"smoker","Yes")),IF(C175=$W$33,GETPIVOTDATA("tip %",$W$32,"day","Thur"),IF(C175=$W$34,GETPIVOTDATA("tip %",$W$32,"day","Fri"),IF(C175=$W$35,GETPIVOTDATA("tip %",$W$32,"day","Sat"),IF(C175=$W$36,GETPIVOTDATA("tip %",$W$32,"day","Sun"),GETPIVOTDATA("tip %",$W$32))))),IF(D175=$AE$27,GETPIVOTDATA("tip %",$AE$26,"time","Dinner"),GETPIVOTDATA("tip %",$AE$26,"time","Lunch")),IF(N175=$AA$33,GETPIVOTDATA("Average of tip %",$AA$32,"size",1),IF(N175=$AA$34,GETPIVOTDATA("Average of tip %",$AA$32,"size",2),IF(N175=$AA$35,GETPIVOTDATA("Average of tip %",$AA$32,"size",3),IF(N175=$AA$36,GETPIVOTDATA("Average of tip %",$AA$32,"size",4),IF(N175=$AA$37,GETPIVOTDATA("Average of tip %",$AA$32,"size",5),GETPIVOTDATA("Average of tip %",$AA$32,"size",6)))))))</f>
        <v>0.16359069307477619</v>
      </c>
      <c r="S175" s="14">
        <f t="shared" si="6"/>
        <v>2.9530824612596698</v>
      </c>
      <c r="T175" s="17">
        <f t="shared" si="7"/>
        <v>3.7233241743819065</v>
      </c>
      <c r="U175" s="12">
        <f t="shared" si="8"/>
        <v>3.3382033178207884</v>
      </c>
    </row>
    <row r="176" spans="1:21" x14ac:dyDescent="0.2">
      <c r="A176" t="s">
        <v>7</v>
      </c>
      <c r="B176" t="s">
        <v>8</v>
      </c>
      <c r="C176" t="s">
        <v>23</v>
      </c>
      <c r="D176" t="s">
        <v>24</v>
      </c>
      <c r="E176">
        <v>2</v>
      </c>
      <c r="F176">
        <v>17.47</v>
      </c>
      <c r="G176">
        <v>3.5</v>
      </c>
      <c r="H176" s="5">
        <f>G176/F176</f>
        <v>0.20034344590726963</v>
      </c>
      <c r="J176" s="16">
        <f>IF(A176="Male",0, 1)</f>
        <v>1</v>
      </c>
      <c r="K176" s="13">
        <f>IF(B176="No",0, 1)</f>
        <v>0</v>
      </c>
      <c r="L176" s="13">
        <f>IF(C176="Mon",1,IF(C176="Tues",2,IF(C176="Wed",3,IF(C176="Thur",4,IF(C176="Fri",5,IF(C176="Sat",6,7))))))</f>
        <v>4</v>
      </c>
      <c r="M176" s="13">
        <f>IF(D176="Lunch",0,1)</f>
        <v>0</v>
      </c>
      <c r="N176" s="13">
        <v>3</v>
      </c>
      <c r="O176" s="13">
        <v>22.82</v>
      </c>
      <c r="P176" s="13">
        <v>2.1800000000000002</v>
      </c>
      <c r="Q176" s="15">
        <f>P176/O176</f>
        <v>9.5530236634531113E-2</v>
      </c>
      <c r="R176" s="15">
        <f>AVERAGE(IF(A176="Female",GETPIVOTDATA("tip %",$W$26,"sex","Female"),GETPIVOTDATA("tip %",$W$26,"sex","Male")),IF(K176=0,GETPIVOTDATA("tip %",$AA$26,"smoker","No"),GETPIVOTDATA("tip %",$AA$26,"smoker","Yes")),IF(C176=$W$33,GETPIVOTDATA("tip %",$W$32,"day","Thur"),IF(C176=$W$34,GETPIVOTDATA("tip %",$W$32,"day","Fri"),IF(C176=$W$35,GETPIVOTDATA("tip %",$W$32,"day","Sat"),IF(C176=$W$36,GETPIVOTDATA("tip %",$W$32,"day","Sun"),GETPIVOTDATA("tip %",$W$32))))),IF(D176=$AE$27,GETPIVOTDATA("tip %",$AE$26,"time","Dinner"),GETPIVOTDATA("tip %",$AE$26,"time","Lunch")),IF(N176=$AA$33,GETPIVOTDATA("Average of tip %",$AA$32,"size",1),IF(N176=$AA$34,GETPIVOTDATA("Average of tip %",$AA$32,"size",2),IF(N176=$AA$35,GETPIVOTDATA("Average of tip %",$AA$32,"size",3),IF(N176=$AA$36,GETPIVOTDATA("Average of tip %",$AA$32,"size",4),IF(N176=$AA$37,GETPIVOTDATA("Average of tip %",$AA$32,"size",5),GETPIVOTDATA("Average of tip %",$AA$32,"size",6)))))))</f>
        <v>0.16067592307488207</v>
      </c>
      <c r="S176" s="14">
        <f t="shared" si="6"/>
        <v>2.7814300242005734</v>
      </c>
      <c r="T176" s="17">
        <f t="shared" si="7"/>
        <v>3.6666245645688087</v>
      </c>
      <c r="U176" s="12">
        <f t="shared" si="8"/>
        <v>3.2240272943846913</v>
      </c>
    </row>
    <row r="177" spans="1:21" x14ac:dyDescent="0.2">
      <c r="A177" t="s">
        <v>11</v>
      </c>
      <c r="B177" t="s">
        <v>8</v>
      </c>
      <c r="C177" t="s">
        <v>9</v>
      </c>
      <c r="D177" t="s">
        <v>10</v>
      </c>
      <c r="E177">
        <v>3</v>
      </c>
      <c r="F177">
        <v>21.01</v>
      </c>
      <c r="G177">
        <v>3.5</v>
      </c>
      <c r="H177" s="5">
        <f>G177/F177</f>
        <v>0.16658733936220846</v>
      </c>
      <c r="J177" s="16">
        <f>IF(A177="Male",0, 1)</f>
        <v>0</v>
      </c>
      <c r="K177" s="13">
        <f>IF(B177="No",0, 1)</f>
        <v>0</v>
      </c>
      <c r="L177" s="13">
        <f>IF(C177="Mon",1,IF(C177="Tues",2,IF(C177="Wed",3,IF(C177="Thur",4,IF(C177="Fri",5,IF(C177="Sat",6,7))))))</f>
        <v>7</v>
      </c>
      <c r="M177" s="13">
        <f>IF(D177="Lunch",0,1)</f>
        <v>1</v>
      </c>
      <c r="N177" s="13">
        <v>3</v>
      </c>
      <c r="O177" s="13">
        <v>23.1</v>
      </c>
      <c r="P177" s="13">
        <v>4</v>
      </c>
      <c r="Q177" s="15">
        <f>P177/O177</f>
        <v>0.17316017316017315</v>
      </c>
      <c r="R177" s="15">
        <f>AVERAGE(IF(A177="Female",GETPIVOTDATA("tip %",$W$26,"sex","Female"),GETPIVOTDATA("tip %",$W$26,"sex","Male")),IF(K177=0,GETPIVOTDATA("tip %",$AA$26,"smoker","No"),GETPIVOTDATA("tip %",$AA$26,"smoker","Yes")),IF(C177=$W$33,GETPIVOTDATA("tip %",$W$32,"day","Thur"),IF(C177=$W$34,GETPIVOTDATA("tip %",$W$32,"day","Fri"),IF(C177=$W$35,GETPIVOTDATA("tip %",$W$32,"day","Sat"),IF(C177=$W$36,GETPIVOTDATA("tip %",$W$32,"day","Sun"),GETPIVOTDATA("tip %",$W$32))))),IF(D177=$AE$27,GETPIVOTDATA("tip %",$AE$26,"time","Dinner"),GETPIVOTDATA("tip %",$AE$26,"time","Lunch")),IF(N177=$AA$33,GETPIVOTDATA("Average of tip %",$AA$32,"size",1),IF(N177=$AA$34,GETPIVOTDATA("Average of tip %",$AA$32,"size",2),IF(N177=$AA$35,GETPIVOTDATA("Average of tip %",$AA$32,"size",3),IF(N177=$AA$36,GETPIVOTDATA("Average of tip %",$AA$32,"size",4),IF(N177=$AA$37,GETPIVOTDATA("Average of tip %",$AA$32,"size",5),GETPIVOTDATA("Average of tip %",$AA$32,"size",6)))))))</f>
        <v>0.15911018781030864</v>
      </c>
      <c r="S177" s="14">
        <f t="shared" si="6"/>
        <v>3.1664864134520667</v>
      </c>
      <c r="T177" s="17">
        <f t="shared" si="7"/>
        <v>3.6754453384181298</v>
      </c>
      <c r="U177" s="12">
        <f t="shared" si="8"/>
        <v>3.4209658759350985</v>
      </c>
    </row>
    <row r="178" spans="1:21" x14ac:dyDescent="0.2">
      <c r="A178" t="s">
        <v>7</v>
      </c>
      <c r="B178" t="s">
        <v>8</v>
      </c>
      <c r="C178" t="s">
        <v>9</v>
      </c>
      <c r="D178" t="s">
        <v>10</v>
      </c>
      <c r="E178">
        <v>3</v>
      </c>
      <c r="F178">
        <v>16.97</v>
      </c>
      <c r="G178">
        <v>3.5</v>
      </c>
      <c r="H178" s="5">
        <f>G178/F178</f>
        <v>0.20624631703005306</v>
      </c>
      <c r="J178" s="16">
        <f>IF(A178="Male",0, 1)</f>
        <v>1</v>
      </c>
      <c r="K178" s="13">
        <f>IF(B178="No",0, 1)</f>
        <v>0</v>
      </c>
      <c r="L178" s="13">
        <f>IF(C178="Mon",1,IF(C178="Tues",2,IF(C178="Wed",3,IF(C178="Thur",4,IF(C178="Fri",5,IF(C178="Sat",6,7))))))</f>
        <v>7</v>
      </c>
      <c r="M178" s="13">
        <f>IF(D178="Lunch",0,1)</f>
        <v>1</v>
      </c>
      <c r="N178" s="13">
        <v>4</v>
      </c>
      <c r="O178" s="13">
        <v>23.17</v>
      </c>
      <c r="P178" s="13">
        <v>6.5</v>
      </c>
      <c r="Q178" s="15">
        <f>P178/O178</f>
        <v>0.28053517479499351</v>
      </c>
      <c r="R178" s="15">
        <f>AVERAGE(IF(A178="Female",GETPIVOTDATA("tip %",$W$26,"sex","Female"),GETPIVOTDATA("tip %",$W$26,"sex","Male")),IF(K178=0,GETPIVOTDATA("tip %",$AA$26,"smoker","No"),GETPIVOTDATA("tip %",$AA$26,"smoker","Yes")),IF(C178=$W$33,GETPIVOTDATA("tip %",$W$32,"day","Thur"),IF(C178=$W$34,GETPIVOTDATA("tip %",$W$32,"day","Fri"),IF(C178=$W$35,GETPIVOTDATA("tip %",$W$32,"day","Sat"),IF(C178=$W$36,GETPIVOTDATA("tip %",$W$32,"day","Sun"),GETPIVOTDATA("tip %",$W$32))))),IF(D178=$AE$27,GETPIVOTDATA("tip %",$AE$26,"time","Dinner"),GETPIVOTDATA("tip %",$AE$26,"time","Lunch")),IF(N178=$AA$33,GETPIVOTDATA("Average of tip %",$AA$32,"size",1),IF(N178=$AA$34,GETPIVOTDATA("Average of tip %",$AA$32,"size",2),IF(N178=$AA$35,GETPIVOTDATA("Average of tip %",$AA$32,"size",3),IF(N178=$AA$36,GETPIVOTDATA("Average of tip %",$AA$32,"size",4),IF(N178=$AA$37,GETPIVOTDATA("Average of tip %",$AA$32,"size",5),GETPIVOTDATA("Average of tip %",$AA$32,"size",6)))))))</f>
        <v>0.15963665600651306</v>
      </c>
      <c r="S178" s="14">
        <f t="shared" si="6"/>
        <v>3.1152525017454993</v>
      </c>
      <c r="T178" s="17">
        <f t="shared" si="7"/>
        <v>3.6987813196709078</v>
      </c>
      <c r="U178" s="12">
        <f t="shared" si="8"/>
        <v>3.4070169107082036</v>
      </c>
    </row>
    <row r="179" spans="1:21" x14ac:dyDescent="0.2">
      <c r="A179" t="s">
        <v>11</v>
      </c>
      <c r="B179" t="s">
        <v>22</v>
      </c>
      <c r="C179" t="s">
        <v>9</v>
      </c>
      <c r="D179" t="s">
        <v>10</v>
      </c>
      <c r="E179">
        <v>3</v>
      </c>
      <c r="F179">
        <v>45.35</v>
      </c>
      <c r="G179">
        <v>3.5</v>
      </c>
      <c r="H179" s="5">
        <f>G179/F179</f>
        <v>7.7177508269018744E-2</v>
      </c>
      <c r="J179" s="16">
        <f>IF(A179="Male",0, 1)</f>
        <v>0</v>
      </c>
      <c r="K179" s="13">
        <f>IF(B179="No",0, 1)</f>
        <v>1</v>
      </c>
      <c r="L179" s="13">
        <f>IF(C179="Mon",1,IF(C179="Tues",2,IF(C179="Wed",3,IF(C179="Thur",4,IF(C179="Fri",5,IF(C179="Sat",6,7))))))</f>
        <v>7</v>
      </c>
      <c r="M179" s="13">
        <f>IF(D179="Lunch",0,1)</f>
        <v>1</v>
      </c>
      <c r="N179" s="13">
        <v>2</v>
      </c>
      <c r="O179" s="13">
        <v>23.33</v>
      </c>
      <c r="P179" s="13">
        <v>5.65</v>
      </c>
      <c r="Q179" s="15">
        <f>P179/O179</f>
        <v>0.24217745392198889</v>
      </c>
      <c r="R179" s="15">
        <f>AVERAGE(IF(A179="Female",GETPIVOTDATA("tip %",$W$26,"sex","Female"),GETPIVOTDATA("tip %",$W$26,"sex","Male")),IF(K179=0,GETPIVOTDATA("tip %",$AA$26,"smoker","No"),GETPIVOTDATA("tip %",$AA$26,"smoker","Yes")),IF(C179=$W$33,GETPIVOTDATA("tip %",$W$32,"day","Thur"),IF(C179=$W$34,GETPIVOTDATA("tip %",$W$32,"day","Fri"),IF(C179=$W$35,GETPIVOTDATA("tip %",$W$32,"day","Sat"),IF(C179=$W$36,GETPIVOTDATA("tip %",$W$32,"day","Sun"),GETPIVOTDATA("tip %",$W$32))))),IF(D179=$AE$27,GETPIVOTDATA("tip %",$AE$26,"time","Dinner"),GETPIVOTDATA("tip %",$AE$26,"time","Lunch")),IF(N179=$AA$33,GETPIVOTDATA("Average of tip %",$AA$32,"size",1),IF(N179=$AA$34,GETPIVOTDATA("Average of tip %",$AA$32,"size",2),IF(N179=$AA$35,GETPIVOTDATA("Average of tip %",$AA$32,"size",3),IF(N179=$AA$36,GETPIVOTDATA("Average of tip %",$AA$32,"size",4),IF(N179=$AA$37,GETPIVOTDATA("Average of tip %",$AA$32,"size",5),GETPIVOTDATA("Average of tip %",$AA$32,"size",6)))))))</f>
        <v>0.16259617170138324</v>
      </c>
      <c r="S179" s="14">
        <f t="shared" si="6"/>
        <v>3.1698574880087849</v>
      </c>
      <c r="T179" s="17">
        <f t="shared" si="7"/>
        <v>3.7933686857932707</v>
      </c>
      <c r="U179" s="12">
        <f t="shared" si="8"/>
        <v>3.481613086901028</v>
      </c>
    </row>
    <row r="180" spans="1:21" x14ac:dyDescent="0.2">
      <c r="A180" t="s">
        <v>7</v>
      </c>
      <c r="B180" t="s">
        <v>22</v>
      </c>
      <c r="C180" t="s">
        <v>9</v>
      </c>
      <c r="D180" t="s">
        <v>10</v>
      </c>
      <c r="E180">
        <v>3</v>
      </c>
      <c r="F180">
        <v>20.9</v>
      </c>
      <c r="G180">
        <v>3.5</v>
      </c>
      <c r="H180" s="5">
        <f>G180/F180</f>
        <v>0.1674641148325359</v>
      </c>
      <c r="J180" s="16">
        <f>IF(A180="Male",0, 1)</f>
        <v>1</v>
      </c>
      <c r="K180" s="13">
        <f>IF(B180="No",0, 1)</f>
        <v>1</v>
      </c>
      <c r="L180" s="13">
        <f>IF(C180="Mon",1,IF(C180="Tues",2,IF(C180="Wed",3,IF(C180="Thur",4,IF(C180="Fri",5,IF(C180="Sat",6,7))))))</f>
        <v>7</v>
      </c>
      <c r="M180" s="13">
        <f>IF(D180="Lunch",0,1)</f>
        <v>1</v>
      </c>
      <c r="N180" s="13">
        <v>2</v>
      </c>
      <c r="O180" s="13">
        <v>23.68</v>
      </c>
      <c r="P180" s="13">
        <v>3.31</v>
      </c>
      <c r="Q180" s="15">
        <f>P180/O180</f>
        <v>0.1397804054054054</v>
      </c>
      <c r="R180" s="15">
        <f>AVERAGE(IF(A180="Female",GETPIVOTDATA("tip %",$W$26,"sex","Female"),GETPIVOTDATA("tip %",$W$26,"sex","Male")),IF(K180=0,GETPIVOTDATA("tip %",$AA$26,"smoker","No"),GETPIVOTDATA("tip %",$AA$26,"smoker","Yes")),IF(C180=$W$33,GETPIVOTDATA("tip %",$W$32,"day","Thur"),IF(C180=$W$34,GETPIVOTDATA("tip %",$W$32,"day","Fri"),IF(C180=$W$35,GETPIVOTDATA("tip %",$W$32,"day","Sat"),IF(C180=$W$36,GETPIVOTDATA("tip %",$W$32,"day","Sun"),GETPIVOTDATA("tip %",$W$32))))),IF(D180=$AE$27,GETPIVOTDATA("tip %",$AE$26,"time","Dinner"),GETPIVOTDATA("tip %",$AE$26,"time","Lunch")),IF(N180=$AA$33,GETPIVOTDATA("Average of tip %",$AA$32,"size",1),IF(N180=$AA$34,GETPIVOTDATA("Average of tip %",$AA$32,"size",2),IF(N180=$AA$35,GETPIVOTDATA("Average of tip %",$AA$32,"size",3),IF(N180=$AA$36,GETPIVOTDATA("Average of tip %",$AA$32,"size",4),IF(N180=$AA$37,GETPIVOTDATA("Average of tip %",$AA$32,"size",5),GETPIVOTDATA("Average of tip %",$AA$32,"size",6)))))))</f>
        <v>0.16436420956630871</v>
      </c>
      <c r="S180" s="14">
        <f t="shared" si="6"/>
        <v>3.1186235763022179</v>
      </c>
      <c r="T180" s="17">
        <f t="shared" si="7"/>
        <v>3.8921444825301901</v>
      </c>
      <c r="U180" s="12">
        <f t="shared" si="8"/>
        <v>3.505384029416204</v>
      </c>
    </row>
    <row r="181" spans="1:21" x14ac:dyDescent="0.2">
      <c r="A181" t="s">
        <v>7</v>
      </c>
      <c r="B181" t="s">
        <v>22</v>
      </c>
      <c r="C181" t="s">
        <v>9</v>
      </c>
      <c r="D181" t="s">
        <v>10</v>
      </c>
      <c r="E181">
        <v>3</v>
      </c>
      <c r="F181">
        <v>18.149999999999999</v>
      </c>
      <c r="G181">
        <v>3.5</v>
      </c>
      <c r="H181" s="5">
        <f>G181/F181</f>
        <v>0.1928374655647383</v>
      </c>
      <c r="J181" s="16">
        <f>IF(A181="Male",0, 1)</f>
        <v>1</v>
      </c>
      <c r="K181" s="13">
        <f>IF(B181="No",0, 1)</f>
        <v>1</v>
      </c>
      <c r="L181" s="13">
        <f>IF(C181="Mon",1,IF(C181="Tues",2,IF(C181="Wed",3,IF(C181="Thur",4,IF(C181="Fri",5,IF(C181="Sat",6,7))))))</f>
        <v>7</v>
      </c>
      <c r="M181" s="13">
        <f>IF(D181="Lunch",0,1)</f>
        <v>1</v>
      </c>
      <c r="N181" s="13">
        <v>2</v>
      </c>
      <c r="O181" s="13">
        <v>23.95</v>
      </c>
      <c r="P181" s="13">
        <v>2.5499999999999998</v>
      </c>
      <c r="Q181" s="15">
        <f>P181/O181</f>
        <v>0.10647181628392484</v>
      </c>
      <c r="R181" s="15">
        <f>AVERAGE(IF(A181="Female",GETPIVOTDATA("tip %",$W$26,"sex","Female"),GETPIVOTDATA("tip %",$W$26,"sex","Male")),IF(K181=0,GETPIVOTDATA("tip %",$AA$26,"smoker","No"),GETPIVOTDATA("tip %",$AA$26,"smoker","Yes")),IF(C181=$W$33,GETPIVOTDATA("tip %",$W$32,"day","Thur"),IF(C181=$W$34,GETPIVOTDATA("tip %",$W$32,"day","Fri"),IF(C181=$W$35,GETPIVOTDATA("tip %",$W$32,"day","Sat"),IF(C181=$W$36,GETPIVOTDATA("tip %",$W$32,"day","Sun"),GETPIVOTDATA("tip %",$W$32))))),IF(D181=$AE$27,GETPIVOTDATA("tip %",$AE$26,"time","Dinner"),GETPIVOTDATA("tip %",$AE$26,"time","Lunch")),IF(N181=$AA$33,GETPIVOTDATA("Average of tip %",$AA$32,"size",1),IF(N181=$AA$34,GETPIVOTDATA("Average of tip %",$AA$32,"size",2),IF(N181=$AA$35,GETPIVOTDATA("Average of tip %",$AA$32,"size",3),IF(N181=$AA$36,GETPIVOTDATA("Average of tip %",$AA$32,"size",4),IF(N181=$AA$37,GETPIVOTDATA("Average of tip %",$AA$32,"size",5),GETPIVOTDATA("Average of tip %",$AA$32,"size",6)))))))</f>
        <v>0.16436420956630871</v>
      </c>
      <c r="S181" s="14">
        <f t="shared" si="6"/>
        <v>3.1186235763022179</v>
      </c>
      <c r="T181" s="17">
        <f t="shared" si="7"/>
        <v>3.9365228191130934</v>
      </c>
      <c r="U181" s="12">
        <f t="shared" si="8"/>
        <v>3.5275731977076559</v>
      </c>
    </row>
    <row r="182" spans="1:21" x14ac:dyDescent="0.2">
      <c r="A182" t="s">
        <v>11</v>
      </c>
      <c r="B182" t="s">
        <v>8</v>
      </c>
      <c r="C182" t="s">
        <v>9</v>
      </c>
      <c r="D182" t="s">
        <v>10</v>
      </c>
      <c r="E182">
        <v>4</v>
      </c>
      <c r="F182">
        <v>21.5</v>
      </c>
      <c r="G182">
        <v>3.5</v>
      </c>
      <c r="H182" s="5">
        <f>G182/F182</f>
        <v>0.16279069767441862</v>
      </c>
      <c r="J182" s="16">
        <f>IF(A182="Male",0, 1)</f>
        <v>0</v>
      </c>
      <c r="K182" s="13">
        <f>IF(B182="No",0, 1)</f>
        <v>0</v>
      </c>
      <c r="L182" s="13">
        <f>IF(C182="Mon",1,IF(C182="Tues",2,IF(C182="Wed",3,IF(C182="Thur",4,IF(C182="Fri",5,IF(C182="Sat",6,7))))))</f>
        <v>7</v>
      </c>
      <c r="M182" s="13">
        <f>IF(D182="Lunch",0,1)</f>
        <v>1</v>
      </c>
      <c r="N182" s="13">
        <v>4</v>
      </c>
      <c r="O182" s="13">
        <v>24.01</v>
      </c>
      <c r="P182" s="13">
        <v>2</v>
      </c>
      <c r="Q182" s="15">
        <f>P182/O182</f>
        <v>8.3298625572678045E-2</v>
      </c>
      <c r="R182" s="15">
        <f>AVERAGE(IF(A182="Female",GETPIVOTDATA("tip %",$W$26,"sex","Female"),GETPIVOTDATA("tip %",$W$26,"sex","Male")),IF(K182=0,GETPIVOTDATA("tip %",$AA$26,"smoker","No"),GETPIVOTDATA("tip %",$AA$26,"smoker","Yes")),IF(C182=$W$33,GETPIVOTDATA("tip %",$W$32,"day","Thur"),IF(C182=$W$34,GETPIVOTDATA("tip %",$W$32,"day","Fri"),IF(C182=$W$35,GETPIVOTDATA("tip %",$W$32,"day","Sat"),IF(C182=$W$36,GETPIVOTDATA("tip %",$W$32,"day","Sun"),GETPIVOTDATA("tip %",$W$32))))),IF(D182=$AE$27,GETPIVOTDATA("tip %",$AE$26,"time","Dinner"),GETPIVOTDATA("tip %",$AE$26,"time","Lunch")),IF(N182=$AA$33,GETPIVOTDATA("Average of tip %",$AA$32,"size",1),IF(N182=$AA$34,GETPIVOTDATA("Average of tip %",$AA$32,"size",2),IF(N182=$AA$35,GETPIVOTDATA("Average of tip %",$AA$32,"size",3),IF(N182=$AA$36,GETPIVOTDATA("Average of tip %",$AA$32,"size",4),IF(N182=$AA$37,GETPIVOTDATA("Average of tip %",$AA$32,"size",5),GETPIVOTDATA("Average of tip %",$AA$32,"size",6)))))))</f>
        <v>0.15786861814158762</v>
      </c>
      <c r="S182" s="14">
        <f t="shared" si="6"/>
        <v>3.3149359155857794</v>
      </c>
      <c r="T182" s="17">
        <f t="shared" si="7"/>
        <v>3.7904255215795191</v>
      </c>
      <c r="U182" s="12">
        <f t="shared" si="8"/>
        <v>3.552680718582649</v>
      </c>
    </row>
    <row r="183" spans="1:21" x14ac:dyDescent="0.2">
      <c r="A183" t="s">
        <v>11</v>
      </c>
      <c r="B183" t="s">
        <v>8</v>
      </c>
      <c r="C183" t="s">
        <v>9</v>
      </c>
      <c r="D183" t="s">
        <v>10</v>
      </c>
      <c r="E183">
        <v>2</v>
      </c>
      <c r="F183">
        <v>19.489999999999998</v>
      </c>
      <c r="G183">
        <v>3.51</v>
      </c>
      <c r="H183" s="5">
        <f>G183/F183</f>
        <v>0.18009235505387378</v>
      </c>
      <c r="J183" s="16">
        <f>IF(A183="Male",0, 1)</f>
        <v>0</v>
      </c>
      <c r="K183" s="13">
        <f>IF(B183="No",0, 1)</f>
        <v>0</v>
      </c>
      <c r="L183" s="13">
        <f>IF(C183="Mon",1,IF(C183="Tues",2,IF(C183="Wed",3,IF(C183="Thur",4,IF(C183="Fri",5,IF(C183="Sat",6,7))))))</f>
        <v>7</v>
      </c>
      <c r="M183" s="13">
        <f>IF(D183="Lunch",0,1)</f>
        <v>1</v>
      </c>
      <c r="N183" s="13">
        <v>3</v>
      </c>
      <c r="O183" s="13">
        <v>24.06</v>
      </c>
      <c r="P183" s="13">
        <v>3.6</v>
      </c>
      <c r="Q183" s="15">
        <f>P183/O183</f>
        <v>0.14962593516209477</v>
      </c>
      <c r="R183" s="15">
        <f>AVERAGE(IF(A183="Female",GETPIVOTDATA("tip %",$W$26,"sex","Female"),GETPIVOTDATA("tip %",$W$26,"sex","Male")),IF(K183=0,GETPIVOTDATA("tip %",$AA$26,"smoker","No"),GETPIVOTDATA("tip %",$AA$26,"smoker","Yes")),IF(C183=$W$33,GETPIVOTDATA("tip %",$W$32,"day","Thur"),IF(C183=$W$34,GETPIVOTDATA("tip %",$W$32,"day","Fri"),IF(C183=$W$35,GETPIVOTDATA("tip %",$W$32,"day","Sat"),IF(C183=$W$36,GETPIVOTDATA("tip %",$W$32,"day","Sun"),GETPIVOTDATA("tip %",$W$32))))),IF(D183=$AE$27,GETPIVOTDATA("tip %",$AE$26,"time","Dinner"),GETPIVOTDATA("tip %",$AE$26,"time","Lunch")),IF(N183=$AA$33,GETPIVOTDATA("Average of tip %",$AA$32,"size",1),IF(N183=$AA$34,GETPIVOTDATA("Average of tip %",$AA$32,"size",2),IF(N183=$AA$35,GETPIVOTDATA("Average of tip %",$AA$32,"size",3),IF(N183=$AA$36,GETPIVOTDATA("Average of tip %",$AA$32,"size",4),IF(N183=$AA$37,GETPIVOTDATA("Average of tip %",$AA$32,"size",5),GETPIVOTDATA("Average of tip %",$AA$32,"size",6)))))))</f>
        <v>0.15911018781030864</v>
      </c>
      <c r="S183" s="14">
        <f t="shared" si="6"/>
        <v>3.0043163729662368</v>
      </c>
      <c r="T183" s="17">
        <f t="shared" si="7"/>
        <v>3.8281911187160258</v>
      </c>
      <c r="U183" s="12">
        <f t="shared" si="8"/>
        <v>3.4162537458411313</v>
      </c>
    </row>
    <row r="184" spans="1:21" x14ac:dyDescent="0.2">
      <c r="A184" t="s">
        <v>11</v>
      </c>
      <c r="B184" t="s">
        <v>22</v>
      </c>
      <c r="C184" t="s">
        <v>9</v>
      </c>
      <c r="D184" t="s">
        <v>10</v>
      </c>
      <c r="E184">
        <v>2</v>
      </c>
      <c r="F184">
        <v>34.630000000000003</v>
      </c>
      <c r="G184">
        <v>3.55</v>
      </c>
      <c r="H184" s="5">
        <f>G184/F184</f>
        <v>0.102512272596015</v>
      </c>
      <c r="J184" s="16">
        <f>IF(A184="Male",0, 1)</f>
        <v>0</v>
      </c>
      <c r="K184" s="13">
        <f>IF(B184="No",0, 1)</f>
        <v>1</v>
      </c>
      <c r="L184" s="13">
        <f>IF(C184="Mon",1,IF(C184="Tues",2,IF(C184="Wed",3,IF(C184="Thur",4,IF(C184="Fri",5,IF(C184="Sat",6,7))))))</f>
        <v>7</v>
      </c>
      <c r="M184" s="13">
        <f>IF(D184="Lunch",0,1)</f>
        <v>1</v>
      </c>
      <c r="N184" s="13">
        <v>4</v>
      </c>
      <c r="O184" s="13">
        <v>24.08</v>
      </c>
      <c r="P184" s="13">
        <v>2.92</v>
      </c>
      <c r="Q184" s="15">
        <f>P184/O184</f>
        <v>0.1212624584717608</v>
      </c>
      <c r="R184" s="15">
        <f>AVERAGE(IF(A184="Female",GETPIVOTDATA("tip %",$W$26,"sex","Female"),GETPIVOTDATA("tip %",$W$26,"sex","Male")),IF(K184=0,GETPIVOTDATA("tip %",$AA$26,"smoker","No"),GETPIVOTDATA("tip %",$AA$26,"smoker","Yes")),IF(C184=$W$33,GETPIVOTDATA("tip %",$W$32,"day","Thur"),IF(C184=$W$34,GETPIVOTDATA("tip %",$W$32,"day","Fri"),IF(C184=$W$35,GETPIVOTDATA("tip %",$W$32,"day","Sat"),IF(C184=$W$36,GETPIVOTDATA("tip %",$W$32,"day","Sun"),GETPIVOTDATA("tip %",$W$32))))),IF(D184=$AE$27,GETPIVOTDATA("tip %",$AE$26,"time","Dinner"),GETPIVOTDATA("tip %",$AE$26,"time","Lunch")),IF(N184=$AA$33,GETPIVOTDATA("Average of tip %",$AA$32,"size",1),IF(N184=$AA$34,GETPIVOTDATA("Average of tip %",$AA$32,"size",2),IF(N184=$AA$35,GETPIVOTDATA("Average of tip %",$AA$32,"size",3),IF(N184=$AA$36,GETPIVOTDATA("Average of tip %",$AA$32,"size",4),IF(N184=$AA$37,GETPIVOTDATA("Average of tip %",$AA$32,"size",5),GETPIVOTDATA("Average of tip %",$AA$32,"size",6)))))))</f>
        <v>0.15864213463312013</v>
      </c>
      <c r="S184" s="14">
        <f t="shared" si="6"/>
        <v>3.0076874475229554</v>
      </c>
      <c r="T184" s="17">
        <f t="shared" si="7"/>
        <v>3.8201026019655324</v>
      </c>
      <c r="U184" s="12">
        <f t="shared" si="8"/>
        <v>3.4138950247442441</v>
      </c>
    </row>
    <row r="185" spans="1:21" x14ac:dyDescent="0.2">
      <c r="A185" t="s">
        <v>11</v>
      </c>
      <c r="B185" t="s">
        <v>8</v>
      </c>
      <c r="C185" t="s">
        <v>21</v>
      </c>
      <c r="D185" t="s">
        <v>10</v>
      </c>
      <c r="E185">
        <v>3</v>
      </c>
      <c r="F185">
        <v>24.06</v>
      </c>
      <c r="G185">
        <v>3.6</v>
      </c>
      <c r="H185" s="5">
        <f>G185/F185</f>
        <v>0.14962593516209477</v>
      </c>
      <c r="J185" s="16">
        <f>IF(A185="Male",0, 1)</f>
        <v>0</v>
      </c>
      <c r="K185" s="13">
        <f>IF(B185="No",0, 1)</f>
        <v>0</v>
      </c>
      <c r="L185" s="13">
        <f>IF(C185="Mon",1,IF(C185="Tues",2,IF(C185="Wed",3,IF(C185="Thur",4,IF(C185="Fri",5,IF(C185="Sat",6,7))))))</f>
        <v>6</v>
      </c>
      <c r="M185" s="13">
        <f>IF(D185="Lunch",0,1)</f>
        <v>1</v>
      </c>
      <c r="N185" s="13">
        <v>2</v>
      </c>
      <c r="O185" s="13">
        <v>24.27</v>
      </c>
      <c r="P185" s="13">
        <v>2.0299999999999998</v>
      </c>
      <c r="Q185" s="15">
        <f>P185/O185</f>
        <v>8.3642356819118246E-2</v>
      </c>
      <c r="R185" s="15">
        <f>AVERAGE(IF(A185="Female",GETPIVOTDATA("tip %",$W$26,"sex","Female"),GETPIVOTDATA("tip %",$W$26,"sex","Male")),IF(K185=0,GETPIVOTDATA("tip %",$AA$26,"smoker","No"),GETPIVOTDATA("tip %",$AA$26,"smoker","Yes")),IF(C185=$W$33,GETPIVOTDATA("tip %",$W$32,"day","Thur"),IF(C185=$W$34,GETPIVOTDATA("tip %",$W$32,"day","Fri"),IF(C185=$W$35,GETPIVOTDATA("tip %",$W$32,"day","Sat"),IF(C185=$W$36,GETPIVOTDATA("tip %",$W$32,"day","Sun"),GETPIVOTDATA("tip %",$W$32))))),IF(D185=$AE$27,GETPIVOTDATA("tip %",$AE$26,"time","Dinner"),GETPIVOTDATA("tip %",$AE$26,"time","Lunch")),IF(N185=$AA$33,GETPIVOTDATA("Average of tip %",$AA$32,"size",1),IF(N185=$AA$34,GETPIVOTDATA("Average of tip %",$AA$32,"size",2),IF(N185=$AA$35,GETPIVOTDATA("Average of tip %",$AA$32,"size",3),IF(N185=$AA$36,GETPIVOTDATA("Average of tip %",$AA$32,"size",4),IF(N185=$AA$37,GETPIVOTDATA("Average of tip %",$AA$32,"size",5),GETPIVOTDATA("Average of tip %",$AA$32,"size",6)))))))</f>
        <v>0.15907354121717945</v>
      </c>
      <c r="S185" s="14">
        <f t="shared" si="6"/>
        <v>3.1140807873177652</v>
      </c>
      <c r="T185" s="17">
        <f t="shared" si="7"/>
        <v>3.8607148453409454</v>
      </c>
      <c r="U185" s="12">
        <f t="shared" si="8"/>
        <v>3.4873978163293553</v>
      </c>
    </row>
    <row r="186" spans="1:21" x14ac:dyDescent="0.2">
      <c r="A186" t="s">
        <v>7</v>
      </c>
      <c r="B186" t="s">
        <v>8</v>
      </c>
      <c r="C186" t="s">
        <v>9</v>
      </c>
      <c r="D186" t="s">
        <v>10</v>
      </c>
      <c r="E186">
        <v>4</v>
      </c>
      <c r="F186">
        <v>24.59</v>
      </c>
      <c r="G186">
        <v>3.61</v>
      </c>
      <c r="H186" s="5">
        <f>G186/F186</f>
        <v>0.14680764538430255</v>
      </c>
      <c r="J186" s="16">
        <f>IF(A186="Male",0, 1)</f>
        <v>1</v>
      </c>
      <c r="K186" s="13">
        <f>IF(B186="No",0, 1)</f>
        <v>0</v>
      </c>
      <c r="L186" s="13">
        <f>IF(C186="Mon",1,IF(C186="Tues",2,IF(C186="Wed",3,IF(C186="Thur",4,IF(C186="Fri",5,IF(C186="Sat",6,7))))))</f>
        <v>7</v>
      </c>
      <c r="M186" s="13">
        <f>IF(D186="Lunch",0,1)</f>
        <v>1</v>
      </c>
      <c r="N186" s="13">
        <v>3</v>
      </c>
      <c r="O186" s="13">
        <v>24.52</v>
      </c>
      <c r="P186" s="13">
        <v>3.48</v>
      </c>
      <c r="Q186" s="15">
        <f>P186/O186</f>
        <v>0.14192495921696574</v>
      </c>
      <c r="R186" s="15">
        <f>AVERAGE(IF(A186="Female",GETPIVOTDATA("tip %",$W$26,"sex","Female"),GETPIVOTDATA("tip %",$W$26,"sex","Male")),IF(K186=0,GETPIVOTDATA("tip %",$AA$26,"smoker","No"),GETPIVOTDATA("tip %",$AA$26,"smoker","Yes")),IF(C186=$W$33,GETPIVOTDATA("tip %",$W$32,"day","Thur"),IF(C186=$W$34,GETPIVOTDATA("tip %",$W$32,"day","Fri"),IF(C186=$W$35,GETPIVOTDATA("tip %",$W$32,"day","Sat"),IF(C186=$W$36,GETPIVOTDATA("tip %",$W$32,"day","Sun"),GETPIVOTDATA("tip %",$W$32))))),IF(D186=$AE$27,GETPIVOTDATA("tip %",$AE$26,"time","Dinner"),GETPIVOTDATA("tip %",$AE$26,"time","Lunch")),IF(N186=$AA$33,GETPIVOTDATA("Average of tip %",$AA$32,"size",1),IF(N186=$AA$34,GETPIVOTDATA("Average of tip %",$AA$32,"size",2),IF(N186=$AA$35,GETPIVOTDATA("Average of tip %",$AA$32,"size",3),IF(N186=$AA$36,GETPIVOTDATA("Average of tip %",$AA$32,"size",4),IF(N186=$AA$37,GETPIVOTDATA("Average of tip %",$AA$32,"size",5),GETPIVOTDATA("Average of tip %",$AA$32,"size",6)))))))</f>
        <v>0.16087822567523408</v>
      </c>
      <c r="S186" s="14">
        <f t="shared" si="6"/>
        <v>3.2637020038792115</v>
      </c>
      <c r="T186" s="17">
        <f t="shared" si="7"/>
        <v>3.9447340935567397</v>
      </c>
      <c r="U186" s="12">
        <f t="shared" si="8"/>
        <v>3.6042180487179758</v>
      </c>
    </row>
    <row r="187" spans="1:21" x14ac:dyDescent="0.2">
      <c r="A187" t="s">
        <v>11</v>
      </c>
      <c r="B187" t="s">
        <v>22</v>
      </c>
      <c r="C187" t="s">
        <v>9</v>
      </c>
      <c r="D187" t="s">
        <v>10</v>
      </c>
      <c r="E187">
        <v>4</v>
      </c>
      <c r="F187">
        <v>34.65</v>
      </c>
      <c r="G187">
        <v>3.68</v>
      </c>
      <c r="H187" s="5">
        <f>G187/F187</f>
        <v>0.10620490620490622</v>
      </c>
      <c r="J187" s="16">
        <f>IF(A187="Male",0, 1)</f>
        <v>0</v>
      </c>
      <c r="K187" s="13">
        <f>IF(B187="No",0, 1)</f>
        <v>1</v>
      </c>
      <c r="L187" s="13">
        <f>IF(C187="Mon",1,IF(C187="Tues",2,IF(C187="Wed",3,IF(C187="Thur",4,IF(C187="Fri",5,IF(C187="Sat",6,7))))))</f>
        <v>7</v>
      </c>
      <c r="M187" s="13">
        <f>IF(D187="Lunch",0,1)</f>
        <v>1</v>
      </c>
      <c r="N187" s="13">
        <v>4</v>
      </c>
      <c r="O187" s="13">
        <v>24.55</v>
      </c>
      <c r="P187" s="13">
        <v>2</v>
      </c>
      <c r="Q187" s="15">
        <f>P187/O187</f>
        <v>8.1466395112016296E-2</v>
      </c>
      <c r="R187" s="15">
        <f>AVERAGE(IF(A187="Female",GETPIVOTDATA("tip %",$W$26,"sex","Female"),GETPIVOTDATA("tip %",$W$26,"sex","Male")),IF(K187=0,GETPIVOTDATA("tip %",$AA$26,"smoker","No"),GETPIVOTDATA("tip %",$AA$26,"smoker","Yes")),IF(C187=$W$33,GETPIVOTDATA("tip %",$W$32,"day","Thur"),IF(C187=$W$34,GETPIVOTDATA("tip %",$W$32,"day","Fri"),IF(C187=$W$35,GETPIVOTDATA("tip %",$W$32,"day","Sat"),IF(C187=$W$36,GETPIVOTDATA("tip %",$W$32,"day","Sun"),GETPIVOTDATA("tip %",$W$32))))),IF(D187=$AE$27,GETPIVOTDATA("tip %",$AE$26,"time","Dinner"),GETPIVOTDATA("tip %",$AE$26,"time","Lunch")),IF(N187=$AA$33,GETPIVOTDATA("Average of tip %",$AA$32,"size",1),IF(N187=$AA$34,GETPIVOTDATA("Average of tip %",$AA$32,"size",2),IF(N187=$AA$35,GETPIVOTDATA("Average of tip %",$AA$32,"size",3),IF(N187=$AA$36,GETPIVOTDATA("Average of tip %",$AA$32,"size",4),IF(N187=$AA$37,GETPIVOTDATA("Average of tip %",$AA$32,"size",5),GETPIVOTDATA("Average of tip %",$AA$32,"size",6)))))))</f>
        <v>0.15864213463312013</v>
      </c>
      <c r="S187" s="14">
        <f t="shared" si="6"/>
        <v>3.318306990142498</v>
      </c>
      <c r="T187" s="17">
        <f t="shared" si="7"/>
        <v>3.8946644052430992</v>
      </c>
      <c r="U187" s="12">
        <f t="shared" si="8"/>
        <v>3.6064856976927988</v>
      </c>
    </row>
    <row r="188" spans="1:21" x14ac:dyDescent="0.2">
      <c r="A188" t="s">
        <v>11</v>
      </c>
      <c r="B188" t="s">
        <v>8</v>
      </c>
      <c r="C188" t="s">
        <v>9</v>
      </c>
      <c r="D188" t="s">
        <v>10</v>
      </c>
      <c r="E188">
        <v>3</v>
      </c>
      <c r="F188">
        <v>16.29</v>
      </c>
      <c r="G188">
        <v>3.71</v>
      </c>
      <c r="H188" s="5">
        <f>G188/F188</f>
        <v>0.22774708410067526</v>
      </c>
      <c r="J188" s="16">
        <f>IF(A188="Male",0, 1)</f>
        <v>0</v>
      </c>
      <c r="K188" s="13">
        <f>IF(B188="No",0, 1)</f>
        <v>0</v>
      </c>
      <c r="L188" s="13">
        <f>IF(C188="Mon",1,IF(C188="Tues",2,IF(C188="Wed",3,IF(C188="Thur",4,IF(C188="Fri",5,IF(C188="Sat",6,7))))))</f>
        <v>7</v>
      </c>
      <c r="M188" s="13">
        <f>IF(D188="Lunch",0,1)</f>
        <v>1</v>
      </c>
      <c r="N188" s="13">
        <v>4</v>
      </c>
      <c r="O188" s="13">
        <v>24.59</v>
      </c>
      <c r="P188" s="13">
        <v>3.61</v>
      </c>
      <c r="Q188" s="15">
        <f>P188/O188</f>
        <v>0.14680764538430255</v>
      </c>
      <c r="R188" s="15">
        <f>AVERAGE(IF(A188="Female",GETPIVOTDATA("tip %",$W$26,"sex","Female"),GETPIVOTDATA("tip %",$W$26,"sex","Male")),IF(K188=0,GETPIVOTDATA("tip %",$AA$26,"smoker","No"),GETPIVOTDATA("tip %",$AA$26,"smoker","Yes")),IF(C188=$W$33,GETPIVOTDATA("tip %",$W$32,"day","Thur"),IF(C188=$W$34,GETPIVOTDATA("tip %",$W$32,"day","Fri"),IF(C188=$W$35,GETPIVOTDATA("tip %",$W$32,"day","Sat"),IF(C188=$W$36,GETPIVOTDATA("tip %",$W$32,"day","Sun"),GETPIVOTDATA("tip %",$W$32))))),IF(D188=$AE$27,GETPIVOTDATA("tip %",$AE$26,"time","Dinner"),GETPIVOTDATA("tip %",$AE$26,"time","Lunch")),IF(N188=$AA$33,GETPIVOTDATA("Average of tip %",$AA$32,"size",1),IF(N188=$AA$34,GETPIVOTDATA("Average of tip %",$AA$32,"size",2),IF(N188=$AA$35,GETPIVOTDATA("Average of tip %",$AA$32,"size",3),IF(N188=$AA$36,GETPIVOTDATA("Average of tip %",$AA$32,"size",4),IF(N188=$AA$37,GETPIVOTDATA("Average of tip %",$AA$32,"size",5),GETPIVOTDATA("Average of tip %",$AA$32,"size",6)))))))</f>
        <v>0.15786861814158762</v>
      </c>
      <c r="S188" s="14">
        <f t="shared" si="6"/>
        <v>3.1664864134520667</v>
      </c>
      <c r="T188" s="17">
        <f t="shared" si="7"/>
        <v>3.8819893201016393</v>
      </c>
      <c r="U188" s="12">
        <f t="shared" si="8"/>
        <v>3.5242378667768532</v>
      </c>
    </row>
    <row r="189" spans="1:21" x14ac:dyDescent="0.2">
      <c r="A189" t="s">
        <v>7</v>
      </c>
      <c r="B189" t="s">
        <v>8</v>
      </c>
      <c r="C189" t="s">
        <v>9</v>
      </c>
      <c r="D189" t="s">
        <v>10</v>
      </c>
      <c r="E189">
        <v>4</v>
      </c>
      <c r="F189">
        <v>25</v>
      </c>
      <c r="G189">
        <v>3.75</v>
      </c>
      <c r="H189" s="5">
        <f>G189/F189</f>
        <v>0.15</v>
      </c>
      <c r="J189" s="16">
        <f>IF(A189="Male",0, 1)</f>
        <v>1</v>
      </c>
      <c r="K189" s="13">
        <f>IF(B189="No",0, 1)</f>
        <v>0</v>
      </c>
      <c r="L189" s="13">
        <f>IF(C189="Mon",1,IF(C189="Tues",2,IF(C189="Wed",3,IF(C189="Thur",4,IF(C189="Fri",5,IF(C189="Sat",6,7))))))</f>
        <v>7</v>
      </c>
      <c r="M189" s="13">
        <f>IF(D189="Lunch",0,1)</f>
        <v>1</v>
      </c>
      <c r="N189" s="13">
        <v>2</v>
      </c>
      <c r="O189" s="13">
        <v>24.71</v>
      </c>
      <c r="P189" s="13">
        <v>5.85</v>
      </c>
      <c r="Q189" s="15">
        <f>P189/O189</f>
        <v>0.23674625657628487</v>
      </c>
      <c r="R189" s="15">
        <f>AVERAGE(IF(A189="Female",GETPIVOTDATA("tip %",$W$26,"sex","Female"),GETPIVOTDATA("tip %",$W$26,"sex","Male")),IF(K189=0,GETPIVOTDATA("tip %",$AA$26,"smoker","No"),GETPIVOTDATA("tip %",$AA$26,"smoker","Yes")),IF(C189=$W$33,GETPIVOTDATA("tip %",$W$32,"day","Thur"),IF(C189=$W$34,GETPIVOTDATA("tip %",$W$32,"day","Fri"),IF(C189=$W$35,GETPIVOTDATA("tip %",$W$32,"day","Sat"),IF(C189=$W$36,GETPIVOTDATA("tip %",$W$32,"day","Sun"),GETPIVOTDATA("tip %",$W$32))))),IF(D189=$AE$27,GETPIVOTDATA("tip %",$AE$26,"time","Dinner"),GETPIVOTDATA("tip %",$AE$26,"time","Lunch")),IF(N189=$AA$33,GETPIVOTDATA("Average of tip %",$AA$32,"size",1),IF(N189=$AA$34,GETPIVOTDATA("Average of tip %",$AA$32,"size",2),IF(N189=$AA$35,GETPIVOTDATA("Average of tip %",$AA$32,"size",3),IF(N189=$AA$36,GETPIVOTDATA("Average of tip %",$AA$32,"size",4),IF(N189=$AA$37,GETPIVOTDATA("Average of tip %",$AA$32,"size",5),GETPIVOTDATA("Average of tip %",$AA$32,"size",6)))))))</f>
        <v>0.16359069307477619</v>
      </c>
      <c r="S189" s="14">
        <f t="shared" si="6"/>
        <v>3.2637020038792115</v>
      </c>
      <c r="T189" s="17">
        <f t="shared" si="7"/>
        <v>4.0423260258777196</v>
      </c>
      <c r="U189" s="12">
        <f t="shared" si="8"/>
        <v>3.6530140148784653</v>
      </c>
    </row>
    <row r="190" spans="1:21" x14ac:dyDescent="0.2">
      <c r="A190" t="s">
        <v>11</v>
      </c>
      <c r="B190" t="s">
        <v>8</v>
      </c>
      <c r="C190" t="s">
        <v>21</v>
      </c>
      <c r="D190" t="s">
        <v>10</v>
      </c>
      <c r="E190">
        <v>2</v>
      </c>
      <c r="F190">
        <v>18.239999999999998</v>
      </c>
      <c r="G190">
        <v>3.76</v>
      </c>
      <c r="H190" s="5">
        <f>G190/F190</f>
        <v>0.20614035087719298</v>
      </c>
      <c r="J190" s="16">
        <f>IF(A190="Male",0, 1)</f>
        <v>0</v>
      </c>
      <c r="K190" s="13">
        <f>IF(B190="No",0, 1)</f>
        <v>0</v>
      </c>
      <c r="L190" s="13">
        <f>IF(C190="Mon",1,IF(C190="Tues",2,IF(C190="Wed",3,IF(C190="Thur",4,IF(C190="Fri",5,IF(C190="Sat",6,7))))))</f>
        <v>6</v>
      </c>
      <c r="M190" s="13">
        <f>IF(D190="Lunch",0,1)</f>
        <v>1</v>
      </c>
      <c r="N190" s="13">
        <v>4</v>
      </c>
      <c r="O190" s="13">
        <v>25</v>
      </c>
      <c r="P190" s="13">
        <v>3.75</v>
      </c>
      <c r="Q190" s="15">
        <f>P190/O190</f>
        <v>0.15</v>
      </c>
      <c r="R190" s="15">
        <f>AVERAGE(IF(A190="Female",GETPIVOTDATA("tip %",$W$26,"sex","Female"),GETPIVOTDATA("tip %",$W$26,"sex","Male")),IF(K190=0,GETPIVOTDATA("tip %",$AA$26,"smoker","No"),GETPIVOTDATA("tip %",$AA$26,"smoker","Yes")),IF(C190=$W$33,GETPIVOTDATA("tip %",$W$32,"day","Thur"),IF(C190=$W$34,GETPIVOTDATA("tip %",$W$32,"day","Fri"),IF(C190=$W$35,GETPIVOTDATA("tip %",$W$32,"day","Sat"),IF(C190=$W$36,GETPIVOTDATA("tip %",$W$32,"day","Sun"),GETPIVOTDATA("tip %",$W$32))))),IF(D190=$AE$27,GETPIVOTDATA("tip %",$AE$26,"time","Dinner"),GETPIVOTDATA("tip %",$AE$26,"time","Lunch")),IF(N190=$AA$33,GETPIVOTDATA("Average of tip %",$AA$32,"size",1),IF(N190=$AA$34,GETPIVOTDATA("Average of tip %",$AA$32,"size",2),IF(N190=$AA$35,GETPIVOTDATA("Average of tip %",$AA$32,"size",3),IF(N190=$AA$36,GETPIVOTDATA("Average of tip %",$AA$32,"size",4),IF(N190=$AA$37,GETPIVOTDATA("Average of tip %",$AA$32,"size",5),GETPIVOTDATA("Average of tip %",$AA$32,"size",6)))))))</f>
        <v>0.15511950414891634</v>
      </c>
      <c r="S190" s="14">
        <f t="shared" si="6"/>
        <v>2.9519107468319357</v>
      </c>
      <c r="T190" s="17">
        <f t="shared" si="7"/>
        <v>3.8779876037229086</v>
      </c>
      <c r="U190" s="12">
        <f t="shared" si="8"/>
        <v>3.4149491752774219</v>
      </c>
    </row>
    <row r="191" spans="1:21" x14ac:dyDescent="0.2">
      <c r="A191" t="s">
        <v>11</v>
      </c>
      <c r="B191" t="s">
        <v>22</v>
      </c>
      <c r="C191" t="s">
        <v>21</v>
      </c>
      <c r="D191" t="s">
        <v>10</v>
      </c>
      <c r="E191">
        <v>4</v>
      </c>
      <c r="F191">
        <v>18.29</v>
      </c>
      <c r="G191">
        <v>3.76</v>
      </c>
      <c r="H191" s="5">
        <f>G191/F191</f>
        <v>0.20557681793329688</v>
      </c>
      <c r="J191" s="16">
        <f>IF(A191="Male",0, 1)</f>
        <v>0</v>
      </c>
      <c r="K191" s="13">
        <f>IF(B191="No",0, 1)</f>
        <v>1</v>
      </c>
      <c r="L191" s="13">
        <f>IF(C191="Mon",1,IF(C191="Tues",2,IF(C191="Wed",3,IF(C191="Thur",4,IF(C191="Fri",5,IF(C191="Sat",6,7))))))</f>
        <v>6</v>
      </c>
      <c r="M191" s="13">
        <f>IF(D191="Lunch",0,1)</f>
        <v>1</v>
      </c>
      <c r="N191" s="13">
        <v>2</v>
      </c>
      <c r="O191" s="13">
        <v>25.21</v>
      </c>
      <c r="P191" s="13">
        <v>4.29</v>
      </c>
      <c r="Q191" s="15">
        <f>P191/O191</f>
        <v>0.17017056723522411</v>
      </c>
      <c r="R191" s="15">
        <f>AVERAGE(IF(A191="Female",GETPIVOTDATA("tip %",$W$26,"sex","Female"),GETPIVOTDATA("tip %",$W$26,"sex","Male")),IF(K191=0,GETPIVOTDATA("tip %",$AA$26,"smoker","No"),GETPIVOTDATA("tip %",$AA$26,"smoker","Yes")),IF(C191=$W$33,GETPIVOTDATA("tip %",$W$32,"day","Thur"),IF(C191=$W$34,GETPIVOTDATA("tip %",$W$32,"day","Fri"),IF(C191=$W$35,GETPIVOTDATA("tip %",$W$32,"day","Sat"),IF(C191=$W$36,GETPIVOTDATA("tip %",$W$32,"day","Sun"),GETPIVOTDATA("tip %",$W$32))))),IF(D191=$AE$27,GETPIVOTDATA("tip %",$AE$26,"time","Dinner"),GETPIVOTDATA("tip %",$AE$26,"time","Lunch")),IF(N191=$AA$33,GETPIVOTDATA("Average of tip %",$AA$32,"size",1),IF(N191=$AA$34,GETPIVOTDATA("Average of tip %",$AA$32,"size",2),IF(N191=$AA$35,GETPIVOTDATA("Average of tip %",$AA$32,"size",3),IF(N191=$AA$36,GETPIVOTDATA("Average of tip %",$AA$32,"size",4),IF(N191=$AA$37,GETPIVOTDATA("Average of tip %",$AA$32,"size",5),GETPIVOTDATA("Average of tip %",$AA$32,"size",6)))))))</f>
        <v>0.15984705770871196</v>
      </c>
      <c r="S191" s="14">
        <f t="shared" si="6"/>
        <v>3.2659013640081964</v>
      </c>
      <c r="T191" s="17">
        <f t="shared" si="7"/>
        <v>4.0297443248366287</v>
      </c>
      <c r="U191" s="12">
        <f t="shared" si="8"/>
        <v>3.6478228444224126</v>
      </c>
    </row>
    <row r="192" spans="1:21" x14ac:dyDescent="0.2">
      <c r="A192" t="s">
        <v>11</v>
      </c>
      <c r="B192" t="s">
        <v>8</v>
      </c>
      <c r="C192" t="s">
        <v>9</v>
      </c>
      <c r="D192" t="s">
        <v>10</v>
      </c>
      <c r="E192">
        <v>2</v>
      </c>
      <c r="F192">
        <v>21.58</v>
      </c>
      <c r="G192">
        <v>3.92</v>
      </c>
      <c r="H192" s="5">
        <f>G192/F192</f>
        <v>0.18164967562557924</v>
      </c>
      <c r="J192" s="16">
        <f>IF(A192="Male",0, 1)</f>
        <v>0</v>
      </c>
      <c r="K192" s="13">
        <f>IF(B192="No",0, 1)</f>
        <v>0</v>
      </c>
      <c r="L192" s="13">
        <f>IF(C192="Mon",1,IF(C192="Tues",2,IF(C192="Wed",3,IF(C192="Thur",4,IF(C192="Fri",5,IF(C192="Sat",6,7))))))</f>
        <v>7</v>
      </c>
      <c r="M192" s="13">
        <f>IF(D192="Lunch",0,1)</f>
        <v>1</v>
      </c>
      <c r="N192" s="13">
        <v>2</v>
      </c>
      <c r="O192" s="13">
        <v>25.28</v>
      </c>
      <c r="P192" s="13">
        <v>5</v>
      </c>
      <c r="Q192" s="15">
        <f>P192/O192</f>
        <v>0.19778481012658228</v>
      </c>
      <c r="R192" s="15">
        <f>AVERAGE(IF(A192="Female",GETPIVOTDATA("tip %",$W$26,"sex","Female"),GETPIVOTDATA("tip %",$W$26,"sex","Male")),IF(K192=0,GETPIVOTDATA("tip %",$AA$26,"smoker","No"),GETPIVOTDATA("tip %",$AA$26,"smoker","Yes")),IF(C192=$W$33,GETPIVOTDATA("tip %",$W$32,"day","Thur"),IF(C192=$W$34,GETPIVOTDATA("tip %",$W$32,"day","Fri"),IF(C192=$W$35,GETPIVOTDATA("tip %",$W$32,"day","Sat"),IF(C192=$W$36,GETPIVOTDATA("tip %",$W$32,"day","Sun"),GETPIVOTDATA("tip %",$W$32))))),IF(D192=$AE$27,GETPIVOTDATA("tip %",$AE$26,"time","Dinner"),GETPIVOTDATA("tip %",$AE$26,"time","Lunch")),IF(N192=$AA$33,GETPIVOTDATA("Average of tip %",$AA$32,"size",1),IF(N192=$AA$34,GETPIVOTDATA("Average of tip %",$AA$32,"size",2),IF(N192=$AA$35,GETPIVOTDATA("Average of tip %",$AA$32,"size",3),IF(N192=$AA$36,GETPIVOTDATA("Average of tip %",$AA$32,"size",4),IF(N192=$AA$37,GETPIVOTDATA("Average of tip %",$AA$32,"size",5),GETPIVOTDATA("Average of tip %",$AA$32,"size",6)))))))</f>
        <v>0.16182265520985073</v>
      </c>
      <c r="S192" s="14">
        <f t="shared" si="6"/>
        <v>3.0043163729662368</v>
      </c>
      <c r="T192" s="17">
        <f t="shared" si="7"/>
        <v>4.0908767237050263</v>
      </c>
      <c r="U192" s="12">
        <f t="shared" si="8"/>
        <v>3.5475965483356315</v>
      </c>
    </row>
    <row r="193" spans="1:21" x14ac:dyDescent="0.2">
      <c r="A193" t="s">
        <v>11</v>
      </c>
      <c r="B193" t="s">
        <v>8</v>
      </c>
      <c r="C193" t="s">
        <v>23</v>
      </c>
      <c r="D193" t="s">
        <v>24</v>
      </c>
      <c r="E193">
        <v>2</v>
      </c>
      <c r="F193">
        <v>18.28</v>
      </c>
      <c r="G193">
        <v>4</v>
      </c>
      <c r="H193" s="5">
        <f>G193/F193</f>
        <v>0.21881838074398249</v>
      </c>
      <c r="J193" s="16">
        <f>IF(A193="Male",0, 1)</f>
        <v>0</v>
      </c>
      <c r="K193" s="13">
        <f>IF(B193="No",0, 1)</f>
        <v>0</v>
      </c>
      <c r="L193" s="13">
        <f>IF(C193="Mon",1,IF(C193="Tues",2,IF(C193="Wed",3,IF(C193="Thur",4,IF(C193="Fri",5,IF(C193="Sat",6,7))))))</f>
        <v>4</v>
      </c>
      <c r="M193" s="13">
        <f>IF(D193="Lunch",0,1)</f>
        <v>0</v>
      </c>
      <c r="N193" s="13">
        <v>4</v>
      </c>
      <c r="O193" s="13">
        <v>25.29</v>
      </c>
      <c r="P193" s="13">
        <v>4.71</v>
      </c>
      <c r="Q193" s="15">
        <f>P193/O193</f>
        <v>0.18623962040332148</v>
      </c>
      <c r="R193" s="15">
        <f>AVERAGE(IF(A193="Female",GETPIVOTDATA("tip %",$W$26,"sex","Female"),GETPIVOTDATA("tip %",$W$26,"sex","Male")),IF(K193=0,GETPIVOTDATA("tip %",$AA$26,"smoker","No"),GETPIVOTDATA("tip %",$AA$26,"smoker","Yes")),IF(C193=$W$33,GETPIVOTDATA("tip %",$W$32,"day","Thur"),IF(C193=$W$34,GETPIVOTDATA("tip %",$W$32,"day","Fri"),IF(C193=$W$35,GETPIVOTDATA("tip %",$W$32,"day","Sat"),IF(C193=$W$36,GETPIVOTDATA("tip %",$W$32,"day","Sun"),GETPIVOTDATA("tip %",$W$32))))),IF(D193=$AE$27,GETPIVOTDATA("tip %",$AE$26,"time","Dinner"),GETPIVOTDATA("tip %",$AE$26,"time","Lunch")),IF(N193=$AA$33,GETPIVOTDATA("Average of tip %",$AA$32,"size",1),IF(N193=$AA$34,GETPIVOTDATA("Average of tip %",$AA$32,"size",2),IF(N193=$AA$35,GETPIVOTDATA("Average of tip %",$AA$32,"size",3),IF(N193=$AA$36,GETPIVOTDATA("Average of tip %",$AA$32,"size",4),IF(N193=$AA$37,GETPIVOTDATA("Average of tip %",$AA$32,"size",5),GETPIVOTDATA("Average of tip %",$AA$32,"size",6)))))))</f>
        <v>0.15766631554123561</v>
      </c>
      <c r="S193" s="14">
        <f t="shared" si="6"/>
        <v>2.8326639359071408</v>
      </c>
      <c r="T193" s="17">
        <f t="shared" si="7"/>
        <v>3.9873811200378486</v>
      </c>
      <c r="U193" s="12">
        <f t="shared" si="8"/>
        <v>3.4100225279724947</v>
      </c>
    </row>
    <row r="194" spans="1:21" x14ac:dyDescent="0.2">
      <c r="A194" t="s">
        <v>11</v>
      </c>
      <c r="B194" t="s">
        <v>22</v>
      </c>
      <c r="C194" t="s">
        <v>25</v>
      </c>
      <c r="D194" t="s">
        <v>10</v>
      </c>
      <c r="E194">
        <v>2</v>
      </c>
      <c r="F194">
        <v>27.28</v>
      </c>
      <c r="G194">
        <v>4</v>
      </c>
      <c r="H194" s="5">
        <f>G194/F194</f>
        <v>0.14662756598240467</v>
      </c>
      <c r="J194" s="16">
        <f>IF(A194="Male",0, 1)</f>
        <v>0</v>
      </c>
      <c r="K194" s="13">
        <f>IF(B194="No",0, 1)</f>
        <v>1</v>
      </c>
      <c r="L194" s="13">
        <f>IF(C194="Mon",1,IF(C194="Tues",2,IF(C194="Wed",3,IF(C194="Thur",4,IF(C194="Fri",5,IF(C194="Sat",6,7))))))</f>
        <v>5</v>
      </c>
      <c r="M194" s="13">
        <f>IF(D194="Lunch",0,1)</f>
        <v>1</v>
      </c>
      <c r="N194" s="13">
        <v>4</v>
      </c>
      <c r="O194" s="13">
        <v>25.56</v>
      </c>
      <c r="P194" s="13">
        <v>4.34</v>
      </c>
      <c r="Q194" s="15">
        <f>P194/O194</f>
        <v>0.16979655712050079</v>
      </c>
      <c r="R194" s="15">
        <f>AVERAGE(IF(A194="Female",GETPIVOTDATA("tip %",$W$26,"sex","Female"),GETPIVOTDATA("tip %",$W$26,"sex","Male")),IF(K194=0,GETPIVOTDATA("tip %",$AA$26,"smoker","No"),GETPIVOTDATA("tip %",$AA$26,"smoker","Yes")),IF(C194=$W$33,GETPIVOTDATA("tip %",$W$32,"day","Thur"),IF(C194=$W$34,GETPIVOTDATA("tip %",$W$32,"day","Fri"),IF(C194=$W$35,GETPIVOTDATA("tip %",$W$32,"day","Sat"),IF(C194=$W$36,GETPIVOTDATA("tip %",$W$32,"day","Sun"),GETPIVOTDATA("tip %",$W$32))))),IF(D194=$AE$27,GETPIVOTDATA("tip %",$AE$26,"time","Dinner"),GETPIVOTDATA("tip %",$AE$26,"time","Lunch")),IF(N194=$AA$33,GETPIVOTDATA("Average of tip %",$AA$32,"size",1),IF(N194=$AA$34,GETPIVOTDATA("Average of tip %",$AA$32,"size",2),IF(N194=$AA$35,GETPIVOTDATA("Average of tip %",$AA$32,"size",3),IF(N194=$AA$36,GETPIVOTDATA("Average of tip %",$AA$32,"size",4),IF(N194=$AA$37,GETPIVOTDATA("Average of tip %",$AA$32,"size",5),GETPIVOTDATA("Average of tip %",$AA$32,"size",6)))))))</f>
        <v>0.15924528310958902</v>
      </c>
      <c r="S194" s="14">
        <f t="shared" si="6"/>
        <v>2.903608500154534</v>
      </c>
      <c r="T194" s="17">
        <f t="shared" si="7"/>
        <v>4.0703094362810948</v>
      </c>
      <c r="U194" s="12">
        <f t="shared" si="8"/>
        <v>3.4869589682178144</v>
      </c>
    </row>
    <row r="195" spans="1:21" x14ac:dyDescent="0.2">
      <c r="A195" t="s">
        <v>7</v>
      </c>
      <c r="B195" t="s">
        <v>22</v>
      </c>
      <c r="C195" t="s">
        <v>21</v>
      </c>
      <c r="D195" t="s">
        <v>10</v>
      </c>
      <c r="E195">
        <v>2</v>
      </c>
      <c r="F195">
        <v>14.31</v>
      </c>
      <c r="G195">
        <v>4</v>
      </c>
      <c r="H195" s="5">
        <f>G195/F195</f>
        <v>0.27952480782669459</v>
      </c>
      <c r="J195" s="16">
        <f>IF(A195="Male",0, 1)</f>
        <v>1</v>
      </c>
      <c r="K195" s="13">
        <f>IF(B195="No",0, 1)</f>
        <v>1</v>
      </c>
      <c r="L195" s="13">
        <f>IF(C195="Mon",1,IF(C195="Tues",2,IF(C195="Wed",3,IF(C195="Thur",4,IF(C195="Fri",5,IF(C195="Sat",6,7))))))</f>
        <v>6</v>
      </c>
      <c r="M195" s="13">
        <f>IF(D195="Lunch",0,1)</f>
        <v>1</v>
      </c>
      <c r="N195" s="13">
        <v>3</v>
      </c>
      <c r="O195" s="13">
        <v>25.71</v>
      </c>
      <c r="P195" s="13">
        <v>4</v>
      </c>
      <c r="Q195" s="15">
        <f>P195/O195</f>
        <v>0.15558148580318942</v>
      </c>
      <c r="R195" s="15">
        <f>AVERAGE(IF(A195="Female",GETPIVOTDATA("tip %",$W$26,"sex","Female"),GETPIVOTDATA("tip %",$W$26,"sex","Male")),IF(K195=0,GETPIVOTDATA("tip %",$AA$26,"smoker","No"),GETPIVOTDATA("tip %",$AA$26,"smoker","Yes")),IF(C195=$W$33,GETPIVOTDATA("tip %",$W$32,"day","Thur"),IF(C195=$W$34,GETPIVOTDATA("tip %",$W$32,"day","Fri"),IF(C195=$W$35,GETPIVOTDATA("tip %",$W$32,"day","Sat"),IF(C195=$W$36,GETPIVOTDATA("tip %",$W$32,"day","Sun"),GETPIVOTDATA("tip %",$W$32))))),IF(D195=$AE$27,GETPIVOTDATA("tip %",$AE$26,"time","Dinner"),GETPIVOTDATA("tip %",$AE$26,"time","Lunch")),IF(N195=$AA$33,GETPIVOTDATA("Average of tip %",$AA$32,"size",1),IF(N195=$AA$34,GETPIVOTDATA("Average of tip %",$AA$32,"size",2),IF(N195=$AA$35,GETPIVOTDATA("Average of tip %",$AA$32,"size",3),IF(N195=$AA$36,GETPIVOTDATA("Average of tip %",$AA$32,"size",4),IF(N195=$AA$37,GETPIVOTDATA("Average of tip %",$AA$32,"size",5),GETPIVOTDATA("Average of tip %",$AA$32,"size",6)))))))</f>
        <v>0.15890262817409534</v>
      </c>
      <c r="S195" s="14">
        <f t="shared" ref="S195:S245" si="9">AVERAGE(IF(A195=$W$27,GETPIVOTDATA("Average of tip",$W$26,"sex","Female"),GETPIVOTDATA("Average of tip",$W$26,"sex","Male")),IF(B195=$AA$27,GETPIVOTDATA("Average of tip",$AA$26,"smoker","No"),GETPIVOTDATA("Average of tip",$AA$26,"smoker","Yes")),IF(C195=$W$33,GETPIVOTDATA("Average of tip",$W$32,"day","Thur"),IF(C195=$W$34,GETPIVOTDATA("Average of tip",$W$32,"day","Fri"),IF(C195=$W$35,GETPIVOTDATA("Average of tip",$W$32,"day","Sat"),GETPIVOTDATA("Average of tip",$W$32,"day","Sun")))),IF(D195=$AE$27,GETPIVOTDATA("Average of tip",$AE$26,"time","Dinner"),GETPIVOTDATA("Average of tip",$AE$26,"time","Lunch")),IF(E195=$AA$33,GETPIVOTDATA("Average of tip",$AA$32,"size",1),IF(E195=$AA$34,GETPIVOTDATA("Average of tip",$AA$32,"size",2),IF(E195=$AA$35,GETPIVOTDATA("Average of tip",$AA$32,"size",3),IF(E195=$AA$36,GETPIVOTDATA("Average of tip",$AA$32,"size",4),IF(E195=$AA$37,GETPIVOTDATA("Average of tip",$AA$32,"size",5),GETPIVOTDATA("Average of tip",$AA$32,"size",6)))))))</f>
        <v>2.9040479096820868</v>
      </c>
      <c r="T195" s="17">
        <f t="shared" ref="T195:T245" si="10">R195*O195</f>
        <v>4.0853865703559915</v>
      </c>
      <c r="U195" s="12">
        <f t="shared" ref="U195:U245" si="11">AVERAGE(S195,T195)</f>
        <v>3.4947172400190389</v>
      </c>
    </row>
    <row r="196" spans="1:21" x14ac:dyDescent="0.2">
      <c r="A196" t="s">
        <v>11</v>
      </c>
      <c r="B196" t="s">
        <v>22</v>
      </c>
      <c r="C196" t="s">
        <v>9</v>
      </c>
      <c r="D196" t="s">
        <v>10</v>
      </c>
      <c r="E196">
        <v>2</v>
      </c>
      <c r="F196">
        <v>16.82</v>
      </c>
      <c r="G196">
        <v>4</v>
      </c>
      <c r="H196" s="5">
        <f>G196/F196</f>
        <v>0.23781212841854935</v>
      </c>
      <c r="J196" s="16">
        <f>IF(A196="Male",0, 1)</f>
        <v>0</v>
      </c>
      <c r="K196" s="13">
        <f>IF(B196="No",0, 1)</f>
        <v>1</v>
      </c>
      <c r="L196" s="13">
        <f>IF(C196="Mon",1,IF(C196="Tues",2,IF(C196="Wed",3,IF(C196="Thur",4,IF(C196="Fri",5,IF(C196="Sat",6,7))))))</f>
        <v>7</v>
      </c>
      <c r="M196" s="13">
        <f>IF(D196="Lunch",0,1)</f>
        <v>1</v>
      </c>
      <c r="N196" s="13">
        <v>4</v>
      </c>
      <c r="O196" s="13">
        <v>25.89</v>
      </c>
      <c r="P196" s="13">
        <v>5.16</v>
      </c>
      <c r="Q196" s="15">
        <f>P196/O196</f>
        <v>0.19930475086906141</v>
      </c>
      <c r="R196" s="15">
        <f>AVERAGE(IF(A196="Female",GETPIVOTDATA("tip %",$W$26,"sex","Female"),GETPIVOTDATA("tip %",$W$26,"sex","Male")),IF(K196=0,GETPIVOTDATA("tip %",$AA$26,"smoker","No"),GETPIVOTDATA("tip %",$AA$26,"smoker","Yes")),IF(C196=$W$33,GETPIVOTDATA("tip %",$W$32,"day","Thur"),IF(C196=$W$34,GETPIVOTDATA("tip %",$W$32,"day","Fri"),IF(C196=$W$35,GETPIVOTDATA("tip %",$W$32,"day","Sat"),IF(C196=$W$36,GETPIVOTDATA("tip %",$W$32,"day","Sun"),GETPIVOTDATA("tip %",$W$32))))),IF(D196=$AE$27,GETPIVOTDATA("tip %",$AE$26,"time","Dinner"),GETPIVOTDATA("tip %",$AE$26,"time","Lunch")),IF(N196=$AA$33,GETPIVOTDATA("Average of tip %",$AA$32,"size",1),IF(N196=$AA$34,GETPIVOTDATA("Average of tip %",$AA$32,"size",2),IF(N196=$AA$35,GETPIVOTDATA("Average of tip %",$AA$32,"size",3),IF(N196=$AA$36,GETPIVOTDATA("Average of tip %",$AA$32,"size",4),IF(N196=$AA$37,GETPIVOTDATA("Average of tip %",$AA$32,"size",5),GETPIVOTDATA("Average of tip %",$AA$32,"size",6)))))))</f>
        <v>0.15864213463312013</v>
      </c>
      <c r="S196" s="14">
        <f t="shared" si="9"/>
        <v>3.0076874475229554</v>
      </c>
      <c r="T196" s="17">
        <f t="shared" si="10"/>
        <v>4.1072448656514799</v>
      </c>
      <c r="U196" s="12">
        <f t="shared" si="11"/>
        <v>3.5574661565872177</v>
      </c>
    </row>
    <row r="197" spans="1:21" x14ac:dyDescent="0.2">
      <c r="A197" t="s">
        <v>7</v>
      </c>
      <c r="B197" t="s">
        <v>22</v>
      </c>
      <c r="C197" t="s">
        <v>9</v>
      </c>
      <c r="D197" t="s">
        <v>10</v>
      </c>
      <c r="E197">
        <v>2</v>
      </c>
      <c r="F197">
        <v>9.6</v>
      </c>
      <c r="G197">
        <v>4</v>
      </c>
      <c r="H197" s="5">
        <f>G197/F197</f>
        <v>0.41666666666666669</v>
      </c>
      <c r="J197" s="16">
        <f>IF(A197="Male",0, 1)</f>
        <v>1</v>
      </c>
      <c r="K197" s="13">
        <f>IF(B197="No",0, 1)</f>
        <v>1</v>
      </c>
      <c r="L197" s="13">
        <f>IF(C197="Mon",1,IF(C197="Tues",2,IF(C197="Wed",3,IF(C197="Thur",4,IF(C197="Fri",5,IF(C197="Sat",6,7))))))</f>
        <v>7</v>
      </c>
      <c r="M197" s="13">
        <f>IF(D197="Lunch",0,1)</f>
        <v>1</v>
      </c>
      <c r="N197" s="13">
        <v>2</v>
      </c>
      <c r="O197" s="13">
        <v>26.41</v>
      </c>
      <c r="P197" s="13">
        <v>1.5</v>
      </c>
      <c r="Q197" s="15">
        <f>P197/O197</f>
        <v>5.679666792881484E-2</v>
      </c>
      <c r="R197" s="15">
        <f>AVERAGE(IF(A197="Female",GETPIVOTDATA("tip %",$W$26,"sex","Female"),GETPIVOTDATA("tip %",$W$26,"sex","Male")),IF(K197=0,GETPIVOTDATA("tip %",$AA$26,"smoker","No"),GETPIVOTDATA("tip %",$AA$26,"smoker","Yes")),IF(C197=$W$33,GETPIVOTDATA("tip %",$W$32,"day","Thur"),IF(C197=$W$34,GETPIVOTDATA("tip %",$W$32,"day","Fri"),IF(C197=$W$35,GETPIVOTDATA("tip %",$W$32,"day","Sat"),IF(C197=$W$36,GETPIVOTDATA("tip %",$W$32,"day","Sun"),GETPIVOTDATA("tip %",$W$32))))),IF(D197=$AE$27,GETPIVOTDATA("tip %",$AE$26,"time","Dinner"),GETPIVOTDATA("tip %",$AE$26,"time","Lunch")),IF(N197=$AA$33,GETPIVOTDATA("Average of tip %",$AA$32,"size",1),IF(N197=$AA$34,GETPIVOTDATA("Average of tip %",$AA$32,"size",2),IF(N197=$AA$35,GETPIVOTDATA("Average of tip %",$AA$32,"size",3),IF(N197=$AA$36,GETPIVOTDATA("Average of tip %",$AA$32,"size",4),IF(N197=$AA$37,GETPIVOTDATA("Average of tip %",$AA$32,"size",5),GETPIVOTDATA("Average of tip %",$AA$32,"size",6)))))))</f>
        <v>0.16436420956630871</v>
      </c>
      <c r="S197" s="14">
        <f t="shared" si="9"/>
        <v>2.9564535358163879</v>
      </c>
      <c r="T197" s="17">
        <f t="shared" si="10"/>
        <v>4.3408587746462128</v>
      </c>
      <c r="U197" s="12">
        <f t="shared" si="11"/>
        <v>3.6486561552313006</v>
      </c>
    </row>
    <row r="198" spans="1:21" x14ac:dyDescent="0.2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16.579999999999998</v>
      </c>
      <c r="G198">
        <v>4</v>
      </c>
      <c r="H198" s="5">
        <f>G198/F198</f>
        <v>0.24125452352231608</v>
      </c>
      <c r="J198" s="16">
        <f>IF(A198="Male",0, 1)</f>
        <v>0</v>
      </c>
      <c r="K198" s="13">
        <f>IF(B198="No",0, 1)</f>
        <v>1</v>
      </c>
      <c r="L198" s="13">
        <f>IF(C198="Mon",1,IF(C198="Tues",2,IF(C198="Wed",3,IF(C198="Thur",4,IF(C198="Fri",5,IF(C198="Sat",6,7))))))</f>
        <v>4</v>
      </c>
      <c r="M198" s="13">
        <f>IF(D198="Lunch",0,1)</f>
        <v>0</v>
      </c>
      <c r="N198" s="13">
        <v>3</v>
      </c>
      <c r="O198" s="13">
        <v>26.59</v>
      </c>
      <c r="P198" s="13">
        <v>3.41</v>
      </c>
      <c r="Q198" s="15">
        <f>P198/O198</f>
        <v>0.1282437006393381</v>
      </c>
      <c r="R198" s="15">
        <f>AVERAGE(IF(A198="Female",GETPIVOTDATA("tip %",$W$26,"sex","Female"),GETPIVOTDATA("tip %",$W$26,"sex","Male")),IF(K198=0,GETPIVOTDATA("tip %",$AA$26,"smoker","No"),GETPIVOTDATA("tip %",$AA$26,"smoker","Yes")),IF(C198=$W$33,GETPIVOTDATA("tip %",$W$32,"day","Thur"),IF(C198=$W$34,GETPIVOTDATA("tip %",$W$32,"day","Fri"),IF(C198=$W$35,GETPIVOTDATA("tip %",$W$32,"day","Sat"),IF(C198=$W$36,GETPIVOTDATA("tip %",$W$32,"day","Sun"),GETPIVOTDATA("tip %",$W$32))))),IF(D198=$AE$27,GETPIVOTDATA("tip %",$AE$26,"time","Dinner"),GETPIVOTDATA("tip %",$AE$26,"time","Lunch")),IF(N198=$AA$33,GETPIVOTDATA("Average of tip %",$AA$32,"size",1),IF(N198=$AA$34,GETPIVOTDATA("Average of tip %",$AA$32,"size",2),IF(N198=$AA$35,GETPIVOTDATA("Average of tip %",$AA$32,"size",3),IF(N198=$AA$36,GETPIVOTDATA("Average of tip %",$AA$32,"size",4),IF(N198=$AA$37,GETPIVOTDATA("Average of tip %",$AA$32,"size",5),GETPIVOTDATA("Average of tip %",$AA$32,"size",6)))))))</f>
        <v>0.1596814017014892</v>
      </c>
      <c r="S198" s="14">
        <f t="shared" si="9"/>
        <v>2.836035010463859</v>
      </c>
      <c r="T198" s="17">
        <f t="shared" si="10"/>
        <v>4.245928471242598</v>
      </c>
      <c r="U198" s="12">
        <f t="shared" si="11"/>
        <v>3.5409817408532285</v>
      </c>
    </row>
    <row r="199" spans="1:21" x14ac:dyDescent="0.2">
      <c r="A199" t="s">
        <v>11</v>
      </c>
      <c r="B199" t="s">
        <v>8</v>
      </c>
      <c r="C199" t="s">
        <v>9</v>
      </c>
      <c r="D199" t="s">
        <v>10</v>
      </c>
      <c r="E199">
        <v>3</v>
      </c>
      <c r="F199">
        <v>38.07</v>
      </c>
      <c r="G199">
        <v>4</v>
      </c>
      <c r="H199" s="5">
        <f>G199/F199</f>
        <v>0.10506960861570791</v>
      </c>
      <c r="J199" s="16">
        <f>IF(A199="Male",0, 1)</f>
        <v>0</v>
      </c>
      <c r="K199" s="13">
        <f>IF(B199="No",0, 1)</f>
        <v>0</v>
      </c>
      <c r="L199" s="13">
        <f>IF(C199="Mon",1,IF(C199="Tues",2,IF(C199="Wed",3,IF(C199="Thur",4,IF(C199="Fri",5,IF(C199="Sat",6,7))))))</f>
        <v>7</v>
      </c>
      <c r="M199" s="13">
        <f>IF(D199="Lunch",0,1)</f>
        <v>1</v>
      </c>
      <c r="N199" s="13">
        <v>2</v>
      </c>
      <c r="O199" s="13">
        <v>26.86</v>
      </c>
      <c r="P199" s="13">
        <v>3.14</v>
      </c>
      <c r="Q199" s="15">
        <f>P199/O199</f>
        <v>0.11690245718540582</v>
      </c>
      <c r="R199" s="15">
        <f>AVERAGE(IF(A199="Female",GETPIVOTDATA("tip %",$W$26,"sex","Female"),GETPIVOTDATA("tip %",$W$26,"sex","Male")),IF(K199=0,GETPIVOTDATA("tip %",$AA$26,"smoker","No"),GETPIVOTDATA("tip %",$AA$26,"smoker","Yes")),IF(C199=$W$33,GETPIVOTDATA("tip %",$W$32,"day","Thur"),IF(C199=$W$34,GETPIVOTDATA("tip %",$W$32,"day","Fri"),IF(C199=$W$35,GETPIVOTDATA("tip %",$W$32,"day","Sat"),IF(C199=$W$36,GETPIVOTDATA("tip %",$W$32,"day","Sun"),GETPIVOTDATA("tip %",$W$32))))),IF(D199=$AE$27,GETPIVOTDATA("tip %",$AE$26,"time","Dinner"),GETPIVOTDATA("tip %",$AE$26,"time","Lunch")),IF(N199=$AA$33,GETPIVOTDATA("Average of tip %",$AA$32,"size",1),IF(N199=$AA$34,GETPIVOTDATA("Average of tip %",$AA$32,"size",2),IF(N199=$AA$35,GETPIVOTDATA("Average of tip %",$AA$32,"size",3),IF(N199=$AA$36,GETPIVOTDATA("Average of tip %",$AA$32,"size",4),IF(N199=$AA$37,GETPIVOTDATA("Average of tip %",$AA$32,"size",5),GETPIVOTDATA("Average of tip %",$AA$32,"size",6)))))))</f>
        <v>0.16182265520985073</v>
      </c>
      <c r="S199" s="14">
        <f t="shared" si="9"/>
        <v>3.1664864134520667</v>
      </c>
      <c r="T199" s="17">
        <f t="shared" si="10"/>
        <v>4.3465565189365902</v>
      </c>
      <c r="U199" s="12">
        <f t="shared" si="11"/>
        <v>3.7565214661943287</v>
      </c>
    </row>
    <row r="200" spans="1:21" x14ac:dyDescent="0.2">
      <c r="A200" t="s">
        <v>7</v>
      </c>
      <c r="B200" t="s">
        <v>8</v>
      </c>
      <c r="C200" t="s">
        <v>9</v>
      </c>
      <c r="D200" t="s">
        <v>10</v>
      </c>
      <c r="E200">
        <v>3</v>
      </c>
      <c r="F200">
        <v>25.71</v>
      </c>
      <c r="G200">
        <v>4</v>
      </c>
      <c r="H200" s="5">
        <f>G200/F200</f>
        <v>0.15558148580318942</v>
      </c>
      <c r="J200" s="16">
        <f>IF(A200="Male",0, 1)</f>
        <v>1</v>
      </c>
      <c r="K200" s="13">
        <f>IF(B200="No",0, 1)</f>
        <v>0</v>
      </c>
      <c r="L200" s="13">
        <f>IF(C200="Mon",1,IF(C200="Tues",2,IF(C200="Wed",3,IF(C200="Thur",4,IF(C200="Fri",5,IF(C200="Sat",6,7))))))</f>
        <v>7</v>
      </c>
      <c r="M200" s="13">
        <f>IF(D200="Lunch",0,1)</f>
        <v>1</v>
      </c>
      <c r="N200" s="13">
        <v>4</v>
      </c>
      <c r="O200" s="13">
        <v>26.88</v>
      </c>
      <c r="P200" s="13">
        <v>3.12</v>
      </c>
      <c r="Q200" s="15">
        <f>P200/O200</f>
        <v>0.11607142857142858</v>
      </c>
      <c r="R200" s="15">
        <f>AVERAGE(IF(A200="Female",GETPIVOTDATA("tip %",$W$26,"sex","Female"),GETPIVOTDATA("tip %",$W$26,"sex","Male")),IF(K200=0,GETPIVOTDATA("tip %",$AA$26,"smoker","No"),GETPIVOTDATA("tip %",$AA$26,"smoker","Yes")),IF(C200=$W$33,GETPIVOTDATA("tip %",$W$32,"day","Thur"),IF(C200=$W$34,GETPIVOTDATA("tip %",$W$32,"day","Fri"),IF(C200=$W$35,GETPIVOTDATA("tip %",$W$32,"day","Sat"),IF(C200=$W$36,GETPIVOTDATA("tip %",$W$32,"day","Sun"),GETPIVOTDATA("tip %",$W$32))))),IF(D200=$AE$27,GETPIVOTDATA("tip %",$AE$26,"time","Dinner"),GETPIVOTDATA("tip %",$AE$26,"time","Lunch")),IF(N200=$AA$33,GETPIVOTDATA("Average of tip %",$AA$32,"size",1),IF(N200=$AA$34,GETPIVOTDATA("Average of tip %",$AA$32,"size",2),IF(N200=$AA$35,GETPIVOTDATA("Average of tip %",$AA$32,"size",3),IF(N200=$AA$36,GETPIVOTDATA("Average of tip %",$AA$32,"size",4),IF(N200=$AA$37,GETPIVOTDATA("Average of tip %",$AA$32,"size",5),GETPIVOTDATA("Average of tip %",$AA$32,"size",6)))))))</f>
        <v>0.15963665600651306</v>
      </c>
      <c r="S200" s="14">
        <f t="shared" si="9"/>
        <v>3.1152525017454993</v>
      </c>
      <c r="T200" s="17">
        <f t="shared" si="10"/>
        <v>4.2910333134550704</v>
      </c>
      <c r="U200" s="12">
        <f t="shared" si="11"/>
        <v>3.7031429076002849</v>
      </c>
    </row>
    <row r="201" spans="1:21" x14ac:dyDescent="0.2">
      <c r="A201" t="s">
        <v>11</v>
      </c>
      <c r="B201" t="s">
        <v>22</v>
      </c>
      <c r="C201" t="s">
        <v>9</v>
      </c>
      <c r="D201" t="s">
        <v>10</v>
      </c>
      <c r="E201">
        <v>3</v>
      </c>
      <c r="F201">
        <v>23.1</v>
      </c>
      <c r="G201">
        <v>4</v>
      </c>
      <c r="H201" s="5">
        <f>G201/F201</f>
        <v>0.17316017316017315</v>
      </c>
      <c r="J201" s="16">
        <f>IF(A201="Male",0, 1)</f>
        <v>0</v>
      </c>
      <c r="K201" s="13">
        <f>IF(B201="No",0, 1)</f>
        <v>1</v>
      </c>
      <c r="L201" s="13">
        <f>IF(C201="Mon",1,IF(C201="Tues",2,IF(C201="Wed",3,IF(C201="Thur",4,IF(C201="Fri",5,IF(C201="Sat",6,7))))))</f>
        <v>7</v>
      </c>
      <c r="M201" s="13">
        <f>IF(D201="Lunch",0,1)</f>
        <v>1</v>
      </c>
      <c r="N201" s="13">
        <v>6</v>
      </c>
      <c r="O201" s="13">
        <v>27.05</v>
      </c>
      <c r="P201" s="13">
        <v>5</v>
      </c>
      <c r="Q201" s="15">
        <f>P201/O201</f>
        <v>0.18484288354898337</v>
      </c>
      <c r="R201" s="15">
        <f>AVERAGE(IF(A201="Female",GETPIVOTDATA("tip %",$W$26,"sex","Female"),GETPIVOTDATA("tip %",$W$26,"sex","Male")),IF(K201=0,GETPIVOTDATA("tip %",$AA$26,"smoker","No"),GETPIVOTDATA("tip %",$AA$26,"smoker","Yes")),IF(C201=$W$33,GETPIVOTDATA("tip %",$W$32,"day","Thur"),IF(C201=$W$34,GETPIVOTDATA("tip %",$W$32,"day","Fri"),IF(C201=$W$35,GETPIVOTDATA("tip %",$W$32,"day","Sat"),IF(C201=$W$36,GETPIVOTDATA("tip %",$W$32,"day","Sun"),GETPIVOTDATA("tip %",$W$32))))),IF(D201=$AE$27,GETPIVOTDATA("tip %",$AE$26,"time","Dinner"),GETPIVOTDATA("tip %",$AE$26,"time","Lunch")),IF(N201=$AA$33,GETPIVOTDATA("Average of tip %",$AA$32,"size",1),IF(N201=$AA$34,GETPIVOTDATA("Average of tip %",$AA$32,"size",2),IF(N201=$AA$35,GETPIVOTDATA("Average of tip %",$AA$32,"size",3),IF(N201=$AA$36,GETPIVOTDATA("Average of tip %",$AA$32,"size",4),IF(N201=$AA$37,GETPIVOTDATA("Average of tip %",$AA$32,"size",5),GETPIVOTDATA("Average of tip %",$AA$32,"size",6)))))))</f>
        <v>0.16069817349847423</v>
      </c>
      <c r="S201" s="14">
        <f t="shared" si="9"/>
        <v>3.1698574880087849</v>
      </c>
      <c r="T201" s="17">
        <f t="shared" si="10"/>
        <v>4.3468855931337282</v>
      </c>
      <c r="U201" s="12">
        <f t="shared" si="11"/>
        <v>3.7583715405712566</v>
      </c>
    </row>
    <row r="202" spans="1:21" x14ac:dyDescent="0.2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  <c r="H202" s="5">
        <f>G202/F202</f>
        <v>0.2137894174238375</v>
      </c>
      <c r="J202" s="16">
        <f>IF(A202="Male",0, 1)</f>
        <v>0</v>
      </c>
      <c r="K202" s="13">
        <f>IF(B202="No",0, 1)</f>
        <v>1</v>
      </c>
      <c r="L202" s="13">
        <f>IF(C202="Mon",1,IF(C202="Tues",2,IF(C202="Wed",3,IF(C202="Thur",4,IF(C202="Fri",5,IF(C202="Sat",6,7))))))</f>
        <v>4</v>
      </c>
      <c r="M202" s="13">
        <f>IF(D202="Lunch",0,1)</f>
        <v>0</v>
      </c>
      <c r="N202" s="13">
        <v>2</v>
      </c>
      <c r="O202" s="13">
        <v>27.18</v>
      </c>
      <c r="P202" s="13">
        <v>2</v>
      </c>
      <c r="Q202" s="15">
        <f>P202/O202</f>
        <v>7.358351729212656E-2</v>
      </c>
      <c r="R202" s="15">
        <f>AVERAGE(IF(A202="Female",GETPIVOTDATA("tip %",$W$26,"sex","Female"),GETPIVOTDATA("tip %",$W$26,"sex","Male")),IF(K202=0,GETPIVOTDATA("tip %",$AA$26,"smoker","No"),GETPIVOTDATA("tip %",$AA$26,"smoker","Yes")),IF(C202=$W$33,GETPIVOTDATA("tip %",$W$32,"day","Thur"),IF(C202=$W$34,GETPIVOTDATA("tip %",$W$32,"day","Fri"),IF(C202=$W$35,GETPIVOTDATA("tip %",$W$32,"day","Sat"),IF(C202=$W$36,GETPIVOTDATA("tip %",$W$32,"day","Sun"),GETPIVOTDATA("tip %",$W$32))))),IF(D202=$AE$27,GETPIVOTDATA("tip %",$AE$26,"time","Dinner"),GETPIVOTDATA("tip %",$AE$26,"time","Lunch")),IF(N202=$AA$33,GETPIVOTDATA("Average of tip %",$AA$32,"size",1),IF(N202=$AA$34,GETPIVOTDATA("Average of tip %",$AA$32,"size",2),IF(N202=$AA$35,GETPIVOTDATA("Average of tip %",$AA$32,"size",3),IF(N202=$AA$36,GETPIVOTDATA("Average of tip %",$AA$32,"size",4),IF(N202=$AA$37,GETPIVOTDATA("Average of tip %",$AA$32,"size",5),GETPIVOTDATA("Average of tip %",$AA$32,"size",6)))))))</f>
        <v>0.16239386910103129</v>
      </c>
      <c r="S202" s="14">
        <f t="shared" si="9"/>
        <v>2.9982050509496889</v>
      </c>
      <c r="T202" s="17">
        <f t="shared" si="10"/>
        <v>4.4138653621660309</v>
      </c>
      <c r="U202" s="12">
        <f t="shared" si="11"/>
        <v>3.7060352065578597</v>
      </c>
    </row>
    <row r="203" spans="1:21" x14ac:dyDescent="0.2">
      <c r="A203" t="s">
        <v>11</v>
      </c>
      <c r="B203" t="s">
        <v>8</v>
      </c>
      <c r="C203" t="s">
        <v>23</v>
      </c>
      <c r="D203" t="s">
        <v>24</v>
      </c>
      <c r="E203">
        <v>4</v>
      </c>
      <c r="F203">
        <v>27.2</v>
      </c>
      <c r="G203">
        <v>4</v>
      </c>
      <c r="H203" s="5">
        <f>G203/F203</f>
        <v>0.14705882352941177</v>
      </c>
      <c r="J203" s="16">
        <f>IF(A203="Male",0, 1)</f>
        <v>0</v>
      </c>
      <c r="K203" s="13">
        <f>IF(B203="No",0, 1)</f>
        <v>0</v>
      </c>
      <c r="L203" s="13">
        <f>IF(C203="Mon",1,IF(C203="Tues",2,IF(C203="Wed",3,IF(C203="Thur",4,IF(C203="Fri",5,IF(C203="Sat",6,7))))))</f>
        <v>4</v>
      </c>
      <c r="M203" s="13">
        <f>IF(D203="Lunch",0,1)</f>
        <v>0</v>
      </c>
      <c r="N203" s="13">
        <v>4</v>
      </c>
      <c r="O203" s="13">
        <v>27.2</v>
      </c>
      <c r="P203" s="13">
        <v>4</v>
      </c>
      <c r="Q203" s="15">
        <f>P203/O203</f>
        <v>0.14705882352941177</v>
      </c>
      <c r="R203" s="15">
        <f>AVERAGE(IF(A203="Female",GETPIVOTDATA("tip %",$W$26,"sex","Female"),GETPIVOTDATA("tip %",$W$26,"sex","Male")),IF(K203=0,GETPIVOTDATA("tip %",$AA$26,"smoker","No"),GETPIVOTDATA("tip %",$AA$26,"smoker","Yes")),IF(C203=$W$33,GETPIVOTDATA("tip %",$W$32,"day","Thur"),IF(C203=$W$34,GETPIVOTDATA("tip %",$W$32,"day","Fri"),IF(C203=$W$35,GETPIVOTDATA("tip %",$W$32,"day","Sat"),IF(C203=$W$36,GETPIVOTDATA("tip %",$W$32,"day","Sun"),GETPIVOTDATA("tip %",$W$32))))),IF(D203=$AE$27,GETPIVOTDATA("tip %",$AE$26,"time","Dinner"),GETPIVOTDATA("tip %",$AE$26,"time","Lunch")),IF(N203=$AA$33,GETPIVOTDATA("Average of tip %",$AA$32,"size",1),IF(N203=$AA$34,GETPIVOTDATA("Average of tip %",$AA$32,"size",2),IF(N203=$AA$35,GETPIVOTDATA("Average of tip %",$AA$32,"size",3),IF(N203=$AA$36,GETPIVOTDATA("Average of tip %",$AA$32,"size",4),IF(N203=$AA$37,GETPIVOTDATA("Average of tip %",$AA$32,"size",5),GETPIVOTDATA("Average of tip %",$AA$32,"size",6)))))))</f>
        <v>0.15766631554123561</v>
      </c>
      <c r="S203" s="14">
        <f t="shared" si="9"/>
        <v>3.1432834785266834</v>
      </c>
      <c r="T203" s="17">
        <f t="shared" si="10"/>
        <v>4.2885237827216089</v>
      </c>
      <c r="U203" s="12">
        <f t="shared" si="11"/>
        <v>3.7159036306241462</v>
      </c>
    </row>
    <row r="204" spans="1:21" x14ac:dyDescent="0.2">
      <c r="A204" t="s">
        <v>11</v>
      </c>
      <c r="B204" t="s">
        <v>22</v>
      </c>
      <c r="C204" t="s">
        <v>23</v>
      </c>
      <c r="D204" t="s">
        <v>24</v>
      </c>
      <c r="E204">
        <v>4</v>
      </c>
      <c r="F204">
        <v>20.53</v>
      </c>
      <c r="G204">
        <v>4</v>
      </c>
      <c r="H204" s="5">
        <f>G204/F204</f>
        <v>0.19483682415976619</v>
      </c>
      <c r="J204" s="16">
        <f>IF(A204="Male",0, 1)</f>
        <v>0</v>
      </c>
      <c r="K204" s="13">
        <f>IF(B204="No",0, 1)</f>
        <v>1</v>
      </c>
      <c r="L204" s="13">
        <f>IF(C204="Mon",1,IF(C204="Tues",2,IF(C204="Wed",3,IF(C204="Thur",4,IF(C204="Fri",5,IF(C204="Sat",6,7))))))</f>
        <v>4</v>
      </c>
      <c r="M204" s="13">
        <f>IF(D204="Lunch",0,1)</f>
        <v>0</v>
      </c>
      <c r="N204" s="13">
        <v>2</v>
      </c>
      <c r="O204" s="13">
        <v>27.28</v>
      </c>
      <c r="P204" s="13">
        <v>4</v>
      </c>
      <c r="Q204" s="15">
        <f>P204/O204</f>
        <v>0.14662756598240467</v>
      </c>
      <c r="R204" s="15">
        <f>AVERAGE(IF(A204="Female",GETPIVOTDATA("tip %",$W$26,"sex","Female"),GETPIVOTDATA("tip %",$W$26,"sex","Male")),IF(K204=0,GETPIVOTDATA("tip %",$AA$26,"smoker","No"),GETPIVOTDATA("tip %",$AA$26,"smoker","Yes")),IF(C204=$W$33,GETPIVOTDATA("tip %",$W$32,"day","Thur"),IF(C204=$W$34,GETPIVOTDATA("tip %",$W$32,"day","Fri"),IF(C204=$W$35,GETPIVOTDATA("tip %",$W$32,"day","Sat"),IF(C204=$W$36,GETPIVOTDATA("tip %",$W$32,"day","Sun"),GETPIVOTDATA("tip %",$W$32))))),IF(D204=$AE$27,GETPIVOTDATA("tip %",$AE$26,"time","Dinner"),GETPIVOTDATA("tip %",$AE$26,"time","Lunch")),IF(N204=$AA$33,GETPIVOTDATA("Average of tip %",$AA$32,"size",1),IF(N204=$AA$34,GETPIVOTDATA("Average of tip %",$AA$32,"size",2),IF(N204=$AA$35,GETPIVOTDATA("Average of tip %",$AA$32,"size",3),IF(N204=$AA$36,GETPIVOTDATA("Average of tip %",$AA$32,"size",4),IF(N204=$AA$37,GETPIVOTDATA("Average of tip %",$AA$32,"size",5),GETPIVOTDATA("Average of tip %",$AA$32,"size",6)))))))</f>
        <v>0.16239386910103129</v>
      </c>
      <c r="S204" s="14">
        <f t="shared" si="9"/>
        <v>3.146654553083402</v>
      </c>
      <c r="T204" s="17">
        <f t="shared" si="10"/>
        <v>4.4301047490761336</v>
      </c>
      <c r="U204" s="12">
        <f t="shared" si="11"/>
        <v>3.7883796510797678</v>
      </c>
    </row>
    <row r="205" spans="1:21" x14ac:dyDescent="0.2">
      <c r="A205" t="s">
        <v>11</v>
      </c>
      <c r="B205" t="s">
        <v>22</v>
      </c>
      <c r="C205" t="s">
        <v>21</v>
      </c>
      <c r="D205" t="s">
        <v>10</v>
      </c>
      <c r="E205">
        <v>2</v>
      </c>
      <c r="F205">
        <v>20.49</v>
      </c>
      <c r="G205">
        <v>4.0599999999999996</v>
      </c>
      <c r="H205" s="5">
        <f>G205/F205</f>
        <v>0.19814543679843827</v>
      </c>
      <c r="J205" s="16">
        <f>IF(A205="Male",0, 1)</f>
        <v>0</v>
      </c>
      <c r="K205" s="13">
        <f>IF(B205="No",0, 1)</f>
        <v>1</v>
      </c>
      <c r="L205" s="13">
        <f>IF(C205="Mon",1,IF(C205="Tues",2,IF(C205="Wed",3,IF(C205="Thur",4,IF(C205="Fri",5,IF(C205="Sat",6,7))))))</f>
        <v>6</v>
      </c>
      <c r="M205" s="13">
        <f>IF(D205="Lunch",0,1)</f>
        <v>1</v>
      </c>
      <c r="N205" s="13">
        <v>5</v>
      </c>
      <c r="O205" s="13">
        <v>28.15</v>
      </c>
      <c r="P205" s="13">
        <v>3</v>
      </c>
      <c r="Q205" s="15">
        <f>P205/O205</f>
        <v>0.10657193605683837</v>
      </c>
      <c r="R205" s="15">
        <f>AVERAGE(IF(A205="Female",GETPIVOTDATA("tip %",$W$26,"sex","Female"),GETPIVOTDATA("tip %",$W$26,"sex","Male")),IF(K205=0,GETPIVOTDATA("tip %",$AA$26,"smoker","No"),GETPIVOTDATA("tip %",$AA$26,"smoker","Yes")),IF(C205=$W$33,GETPIVOTDATA("tip %",$W$32,"day","Thur"),IF(C205=$W$34,GETPIVOTDATA("tip %",$W$32,"day","Fri"),IF(C205=$W$35,GETPIVOTDATA("tip %",$W$32,"day","Sat"),IF(C205=$W$36,GETPIVOTDATA("tip %",$W$32,"day","Sun"),GETPIVOTDATA("tip %",$W$32))))),IF(D205=$AE$27,GETPIVOTDATA("tip %",$AE$26,"time","Dinner"),GETPIVOTDATA("tip %",$AE$26,"time","Lunch")),IF(N205=$AA$33,GETPIVOTDATA("Average of tip %",$AA$32,"size",1),IF(N205=$AA$34,GETPIVOTDATA("Average of tip %",$AA$32,"size",2),IF(N205=$AA$35,GETPIVOTDATA("Average of tip %",$AA$32,"size",3),IF(N205=$AA$36,GETPIVOTDATA("Average of tip %",$AA$32,"size",4),IF(N205=$AA$37,GETPIVOTDATA("Average of tip %",$AA$32,"size",5),GETPIVOTDATA("Average of tip %",$AA$32,"size",6)))))))</f>
        <v>0.15500231729203023</v>
      </c>
      <c r="S205" s="14">
        <f t="shared" si="9"/>
        <v>2.9552818213886538</v>
      </c>
      <c r="T205" s="17">
        <f t="shared" si="10"/>
        <v>4.3633152317706507</v>
      </c>
      <c r="U205" s="12">
        <f t="shared" si="11"/>
        <v>3.6592985265796525</v>
      </c>
    </row>
    <row r="206" spans="1:21" x14ac:dyDescent="0.2">
      <c r="A206" t="s">
        <v>11</v>
      </c>
      <c r="B206" t="s">
        <v>8</v>
      </c>
      <c r="C206" t="s">
        <v>21</v>
      </c>
      <c r="D206" t="s">
        <v>10</v>
      </c>
      <c r="E206">
        <v>2</v>
      </c>
      <c r="F206">
        <v>17.920000000000002</v>
      </c>
      <c r="G206">
        <v>4.08</v>
      </c>
      <c r="H206" s="5">
        <f>G206/F206</f>
        <v>0.22767857142857142</v>
      </c>
      <c r="J206" s="16">
        <f>IF(A206="Male",0, 1)</f>
        <v>0</v>
      </c>
      <c r="K206" s="13">
        <f>IF(B206="No",0, 1)</f>
        <v>0</v>
      </c>
      <c r="L206" s="13">
        <f>IF(C206="Mon",1,IF(C206="Tues",2,IF(C206="Wed",3,IF(C206="Thur",4,IF(C206="Fri",5,IF(C206="Sat",6,7))))))</f>
        <v>6</v>
      </c>
      <c r="M206" s="13">
        <f>IF(D206="Lunch",0,1)</f>
        <v>1</v>
      </c>
      <c r="N206" s="13">
        <v>3</v>
      </c>
      <c r="O206" s="13">
        <v>28.17</v>
      </c>
      <c r="P206" s="13">
        <v>6.5</v>
      </c>
      <c r="Q206" s="15">
        <f>P206/O206</f>
        <v>0.23074192403265883</v>
      </c>
      <c r="R206" s="15">
        <f>AVERAGE(IF(A206="Female",GETPIVOTDATA("tip %",$W$26,"sex","Female"),GETPIVOTDATA("tip %",$W$26,"sex","Male")),IF(K206=0,GETPIVOTDATA("tip %",$AA$26,"smoker","No"),GETPIVOTDATA("tip %",$AA$26,"smoker","Yes")),IF(C206=$W$33,GETPIVOTDATA("tip %",$W$32,"day","Thur"),IF(C206=$W$34,GETPIVOTDATA("tip %",$W$32,"day","Fri"),IF(C206=$W$35,GETPIVOTDATA("tip %",$W$32,"day","Sat"),IF(C206=$W$36,GETPIVOTDATA("tip %",$W$32,"day","Sun"),GETPIVOTDATA("tip %",$W$32))))),IF(D206=$AE$27,GETPIVOTDATA("tip %",$AE$26,"time","Dinner"),GETPIVOTDATA("tip %",$AE$26,"time","Lunch")),IF(N206=$AA$33,GETPIVOTDATA("Average of tip %",$AA$32,"size",1),IF(N206=$AA$34,GETPIVOTDATA("Average of tip %",$AA$32,"size",2),IF(N206=$AA$35,GETPIVOTDATA("Average of tip %",$AA$32,"size",3),IF(N206=$AA$36,GETPIVOTDATA("Average of tip %",$AA$32,"size",4),IF(N206=$AA$37,GETPIVOTDATA("Average of tip %",$AA$32,"size",5),GETPIVOTDATA("Average of tip %",$AA$32,"size",6)))))))</f>
        <v>0.15636107381763736</v>
      </c>
      <c r="S206" s="14">
        <f t="shared" si="9"/>
        <v>2.9519107468319357</v>
      </c>
      <c r="T206" s="17">
        <f t="shared" si="10"/>
        <v>4.4046914494428444</v>
      </c>
      <c r="U206" s="12">
        <f t="shared" si="11"/>
        <v>3.67830109813739</v>
      </c>
    </row>
    <row r="207" spans="1:21" x14ac:dyDescent="0.2">
      <c r="A207" t="s">
        <v>7</v>
      </c>
      <c r="B207" t="s">
        <v>8</v>
      </c>
      <c r="C207" t="s">
        <v>21</v>
      </c>
      <c r="D207" t="s">
        <v>10</v>
      </c>
      <c r="E207">
        <v>2</v>
      </c>
      <c r="F207">
        <v>20.92</v>
      </c>
      <c r="G207">
        <v>4.08</v>
      </c>
      <c r="H207" s="5">
        <f>G207/F207</f>
        <v>0.19502868068833651</v>
      </c>
      <c r="J207" s="16">
        <f>IF(A207="Male",0, 1)</f>
        <v>1</v>
      </c>
      <c r="K207" s="13">
        <f>IF(B207="No",0, 1)</f>
        <v>0</v>
      </c>
      <c r="L207" s="13">
        <f>IF(C207="Mon",1,IF(C207="Tues",2,IF(C207="Wed",3,IF(C207="Thur",4,IF(C207="Fri",5,IF(C207="Sat",6,7))))))</f>
        <v>6</v>
      </c>
      <c r="M207" s="13">
        <f>IF(D207="Lunch",0,1)</f>
        <v>1</v>
      </c>
      <c r="N207" s="13">
        <v>2</v>
      </c>
      <c r="O207" s="13">
        <v>28.44</v>
      </c>
      <c r="P207" s="13">
        <v>2.56</v>
      </c>
      <c r="Q207" s="15">
        <f>P207/O207</f>
        <v>9.0014064697609003E-2</v>
      </c>
      <c r="R207" s="15">
        <f>AVERAGE(IF(A207="Female",GETPIVOTDATA("tip %",$W$26,"sex","Female"),GETPIVOTDATA("tip %",$W$26,"sex","Male")),IF(K207=0,GETPIVOTDATA("tip %",$AA$26,"smoker","No"),GETPIVOTDATA("tip %",$AA$26,"smoker","Yes")),IF(C207=$W$33,GETPIVOTDATA("tip %",$W$32,"day","Thur"),IF(C207=$W$34,GETPIVOTDATA("tip %",$W$32,"day","Fri"),IF(C207=$W$35,GETPIVOTDATA("tip %",$W$32,"day","Sat"),IF(C207=$W$36,GETPIVOTDATA("tip %",$W$32,"day","Sun"),GETPIVOTDATA("tip %",$W$32))))),IF(D207=$AE$27,GETPIVOTDATA("tip %",$AE$26,"time","Dinner"),GETPIVOTDATA("tip %",$AE$26,"time","Lunch")),IF(N207=$AA$33,GETPIVOTDATA("Average of tip %",$AA$32,"size",1),IF(N207=$AA$34,GETPIVOTDATA("Average of tip %",$AA$32,"size",2),IF(N207=$AA$35,GETPIVOTDATA("Average of tip %",$AA$32,"size",3),IF(N207=$AA$36,GETPIVOTDATA("Average of tip %",$AA$32,"size",4),IF(N207=$AA$37,GETPIVOTDATA("Average of tip %",$AA$32,"size",5),GETPIVOTDATA("Average of tip %",$AA$32,"size",6)))))))</f>
        <v>0.16084157908210489</v>
      </c>
      <c r="S207" s="14">
        <f t="shared" si="9"/>
        <v>2.9006768351253682</v>
      </c>
      <c r="T207" s="17">
        <f t="shared" si="10"/>
        <v>4.5743345090950633</v>
      </c>
      <c r="U207" s="12">
        <f t="shared" si="11"/>
        <v>3.737505672110216</v>
      </c>
    </row>
    <row r="208" spans="1:21" x14ac:dyDescent="0.2">
      <c r="A208" t="s">
        <v>7</v>
      </c>
      <c r="B208" t="s">
        <v>22</v>
      </c>
      <c r="C208" t="s">
        <v>23</v>
      </c>
      <c r="D208" t="s">
        <v>24</v>
      </c>
      <c r="E208">
        <v>2</v>
      </c>
      <c r="F208">
        <v>19.809999999999999</v>
      </c>
      <c r="G208">
        <v>4.1900000000000004</v>
      </c>
      <c r="H208" s="5">
        <f>G208/F208</f>
        <v>0.21150933871781932</v>
      </c>
      <c r="J208" s="16">
        <f>IF(A208="Male",0, 1)</f>
        <v>1</v>
      </c>
      <c r="K208" s="13">
        <f>IF(B208="No",0, 1)</f>
        <v>1</v>
      </c>
      <c r="L208" s="13">
        <f>IF(C208="Mon",1,IF(C208="Tues",2,IF(C208="Wed",3,IF(C208="Thur",4,IF(C208="Fri",5,IF(C208="Sat",6,7))))))</f>
        <v>4</v>
      </c>
      <c r="M208" s="13">
        <f>IF(D208="Lunch",0,1)</f>
        <v>0</v>
      </c>
      <c r="N208" s="13">
        <v>3</v>
      </c>
      <c r="O208" s="13">
        <v>28.55</v>
      </c>
      <c r="P208" s="13">
        <v>2.0499999999999998</v>
      </c>
      <c r="Q208" s="15">
        <f>P208/O208</f>
        <v>7.1803852889667244E-2</v>
      </c>
      <c r="R208" s="15">
        <f>AVERAGE(IF(A208="Female",GETPIVOTDATA("tip %",$W$26,"sex","Female"),GETPIVOTDATA("tip %",$W$26,"sex","Male")),IF(K208=0,GETPIVOTDATA("tip %",$AA$26,"smoker","No"),GETPIVOTDATA("tip %",$AA$26,"smoker","Yes")),IF(C208=$W$33,GETPIVOTDATA("tip %",$W$32,"day","Thur"),IF(C208=$W$34,GETPIVOTDATA("tip %",$W$32,"day","Fri"),IF(C208=$W$35,GETPIVOTDATA("tip %",$W$32,"day","Sat"),IF(C208=$W$36,GETPIVOTDATA("tip %",$W$32,"day","Sun"),GETPIVOTDATA("tip %",$W$32))))),IF(D208=$AE$27,GETPIVOTDATA("tip %",$AE$26,"time","Dinner"),GETPIVOTDATA("tip %",$AE$26,"time","Lunch")),IF(N208=$AA$33,GETPIVOTDATA("Average of tip %",$AA$32,"size",1),IF(N208=$AA$34,GETPIVOTDATA("Average of tip %",$AA$32,"size",2),IF(N208=$AA$35,GETPIVOTDATA("Average of tip %",$AA$32,"size",3),IF(N208=$AA$36,GETPIVOTDATA("Average of tip %",$AA$32,"size",4),IF(N208=$AA$37,GETPIVOTDATA("Average of tip %",$AA$32,"size",5),GETPIVOTDATA("Average of tip %",$AA$32,"size",6)))))))</f>
        <v>0.16144943956641461</v>
      </c>
      <c r="S208" s="14">
        <f t="shared" si="9"/>
        <v>2.784801098757292</v>
      </c>
      <c r="T208" s="17">
        <f t="shared" si="10"/>
        <v>4.6093814996211373</v>
      </c>
      <c r="U208" s="12">
        <f t="shared" si="11"/>
        <v>3.6970912991892146</v>
      </c>
    </row>
    <row r="209" spans="1:21" x14ac:dyDescent="0.2">
      <c r="A209" t="s">
        <v>7</v>
      </c>
      <c r="B209" t="s">
        <v>8</v>
      </c>
      <c r="C209" t="s">
        <v>23</v>
      </c>
      <c r="D209" t="s">
        <v>24</v>
      </c>
      <c r="E209">
        <v>6</v>
      </c>
      <c r="F209">
        <v>29.8</v>
      </c>
      <c r="G209">
        <v>4.2</v>
      </c>
      <c r="H209" s="5">
        <f>G209/F209</f>
        <v>0.14093959731543623</v>
      </c>
      <c r="J209" s="16">
        <f>IF(A209="Male",0, 1)</f>
        <v>1</v>
      </c>
      <c r="K209" s="13">
        <f>IF(B209="No",0, 1)</f>
        <v>0</v>
      </c>
      <c r="L209" s="13">
        <f>IF(C209="Mon",1,IF(C209="Tues",2,IF(C209="Wed",3,IF(C209="Thur",4,IF(C209="Fri",5,IF(C209="Sat",6,7))))))</f>
        <v>4</v>
      </c>
      <c r="M209" s="13">
        <f>IF(D209="Lunch",0,1)</f>
        <v>0</v>
      </c>
      <c r="N209" s="13">
        <v>2</v>
      </c>
      <c r="O209" s="13">
        <v>28.97</v>
      </c>
      <c r="P209" s="13">
        <v>3</v>
      </c>
      <c r="Q209" s="15">
        <f>P209/O209</f>
        <v>0.10355540214014498</v>
      </c>
      <c r="R209" s="15">
        <f>AVERAGE(IF(A209="Female",GETPIVOTDATA("tip %",$W$26,"sex","Female"),GETPIVOTDATA("tip %",$W$26,"sex","Male")),IF(K209=0,GETPIVOTDATA("tip %",$AA$26,"smoker","No"),GETPIVOTDATA("tip %",$AA$26,"smoker","Yes")),IF(C209=$W$33,GETPIVOTDATA("tip %",$W$32,"day","Thur"),IF(C209=$W$34,GETPIVOTDATA("tip %",$W$32,"day","Fri"),IF(C209=$W$35,GETPIVOTDATA("tip %",$W$32,"day","Sat"),IF(C209=$W$36,GETPIVOTDATA("tip %",$W$32,"day","Sun"),GETPIVOTDATA("tip %",$W$32))))),IF(D209=$AE$27,GETPIVOTDATA("tip %",$AE$26,"time","Dinner"),GETPIVOTDATA("tip %",$AE$26,"time","Lunch")),IF(N209=$AA$33,GETPIVOTDATA("Average of tip %",$AA$32,"size",1),IF(N209=$AA$34,GETPIVOTDATA("Average of tip %",$AA$32,"size",2),IF(N209=$AA$35,GETPIVOTDATA("Average of tip %",$AA$32,"size",3),IF(N209=$AA$36,GETPIVOTDATA("Average of tip %",$AA$32,"size",4),IF(N209=$AA$37,GETPIVOTDATA("Average of tip %",$AA$32,"size",5),GETPIVOTDATA("Average of tip %",$AA$32,"size",6)))))))</f>
        <v>0.16338839047442422</v>
      </c>
      <c r="S209" s="14">
        <f t="shared" si="9"/>
        <v>3.3099684857390343</v>
      </c>
      <c r="T209" s="17">
        <f t="shared" si="10"/>
        <v>4.7333616720440697</v>
      </c>
      <c r="U209" s="12">
        <f t="shared" si="11"/>
        <v>4.0216650788915516</v>
      </c>
    </row>
    <row r="210" spans="1:21" x14ac:dyDescent="0.2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25.21</v>
      </c>
      <c r="G210">
        <v>4.29</v>
      </c>
      <c r="H210" s="5">
        <f>G210/F210</f>
        <v>0.17017056723522411</v>
      </c>
      <c r="J210" s="16">
        <f>IF(A210="Male",0, 1)</f>
        <v>0</v>
      </c>
      <c r="K210" s="13">
        <f>IF(B210="No",0, 1)</f>
        <v>1</v>
      </c>
      <c r="L210" s="13">
        <f>IF(C210="Mon",1,IF(C210="Tues",2,IF(C210="Wed",3,IF(C210="Thur",4,IF(C210="Fri",5,IF(C210="Sat",6,7))))))</f>
        <v>6</v>
      </c>
      <c r="M210" s="13">
        <f>IF(D210="Lunch",0,1)</f>
        <v>1</v>
      </c>
      <c r="N210" s="13">
        <v>3</v>
      </c>
      <c r="O210" s="13">
        <v>29.03</v>
      </c>
      <c r="P210" s="13">
        <v>5.92</v>
      </c>
      <c r="Q210" s="15">
        <f>P210/O210</f>
        <v>0.20392697209782981</v>
      </c>
      <c r="R210" s="15">
        <f>AVERAGE(IF(A210="Female",GETPIVOTDATA("tip %",$W$26,"sex","Female"),GETPIVOTDATA("tip %",$W$26,"sex","Male")),IF(K210=0,GETPIVOTDATA("tip %",$AA$26,"smoker","No"),GETPIVOTDATA("tip %",$AA$26,"smoker","Yes")),IF(C210=$W$33,GETPIVOTDATA("tip %",$W$32,"day","Thur"),IF(C210=$W$34,GETPIVOTDATA("tip %",$W$32,"day","Fri"),IF(C210=$W$35,GETPIVOTDATA("tip %",$W$32,"day","Sat"),IF(C210=$W$36,GETPIVOTDATA("tip %",$W$32,"day","Sun"),GETPIVOTDATA("tip %",$W$32))))),IF(D210=$AE$27,GETPIVOTDATA("tip %",$AE$26,"time","Dinner"),GETPIVOTDATA("tip %",$AE$26,"time","Lunch")),IF(N210=$AA$33,GETPIVOTDATA("Average of tip %",$AA$32,"size",1),IF(N210=$AA$34,GETPIVOTDATA("Average of tip %",$AA$32,"size",2),IF(N210=$AA$35,GETPIVOTDATA("Average of tip %",$AA$32,"size",3),IF(N210=$AA$36,GETPIVOTDATA("Average of tip %",$AA$32,"size",4),IF(N210=$AA$37,GETPIVOTDATA("Average of tip %",$AA$32,"size",5),GETPIVOTDATA("Average of tip %",$AA$32,"size",6)))))))</f>
        <v>0.15713459030916987</v>
      </c>
      <c r="S210" s="14">
        <f t="shared" si="9"/>
        <v>2.9552818213886538</v>
      </c>
      <c r="T210" s="17">
        <f t="shared" si="10"/>
        <v>4.5616171566752017</v>
      </c>
      <c r="U210" s="12">
        <f t="shared" si="11"/>
        <v>3.7584494890319275</v>
      </c>
    </row>
    <row r="211" spans="1:21" x14ac:dyDescent="0.2">
      <c r="A211" t="s">
        <v>11</v>
      </c>
      <c r="B211" t="s">
        <v>8</v>
      </c>
      <c r="C211" t="s">
        <v>21</v>
      </c>
      <c r="D211" t="s">
        <v>10</v>
      </c>
      <c r="E211">
        <v>2</v>
      </c>
      <c r="F211">
        <v>21.7</v>
      </c>
      <c r="G211">
        <v>4.3</v>
      </c>
      <c r="H211" s="5">
        <f>G211/F211</f>
        <v>0.19815668202764977</v>
      </c>
      <c r="J211" s="16">
        <f>IF(A211="Male",0, 1)</f>
        <v>0</v>
      </c>
      <c r="K211" s="13">
        <f>IF(B211="No",0, 1)</f>
        <v>0</v>
      </c>
      <c r="L211" s="13">
        <f>IF(C211="Mon",1,IF(C211="Tues",2,IF(C211="Wed",3,IF(C211="Thur",4,IF(C211="Fri",5,IF(C211="Sat",6,7))))))</f>
        <v>6</v>
      </c>
      <c r="M211" s="13">
        <f>IF(D211="Lunch",0,1)</f>
        <v>1</v>
      </c>
      <c r="N211" s="13">
        <v>6</v>
      </c>
      <c r="O211" s="13">
        <v>29.8</v>
      </c>
      <c r="P211" s="13">
        <v>4.2</v>
      </c>
      <c r="Q211" s="15">
        <f>P211/O211</f>
        <v>0.14093959731543623</v>
      </c>
      <c r="R211" s="15">
        <f>AVERAGE(IF(A211="Female",GETPIVOTDATA("tip %",$W$26,"sex","Female"),GETPIVOTDATA("tip %",$W$26,"sex","Male")),IF(K211=0,GETPIVOTDATA("tip %",$AA$26,"smoker","No"),GETPIVOTDATA("tip %",$AA$26,"smoker","Yes")),IF(C211=$W$33,GETPIVOTDATA("tip %",$W$32,"day","Thur"),IF(C211=$W$34,GETPIVOTDATA("tip %",$W$32,"day","Fri"),IF(C211=$W$35,GETPIVOTDATA("tip %",$W$32,"day","Sat"),IF(C211=$W$36,GETPIVOTDATA("tip %",$W$32,"day","Sun"),GETPIVOTDATA("tip %",$W$32))))),IF(D211=$AE$27,GETPIVOTDATA("tip %",$AE$26,"time","Dinner"),GETPIVOTDATA("tip %",$AE$26,"time","Lunch")),IF(N211=$AA$33,GETPIVOTDATA("Average of tip %",$AA$32,"size",1),IF(N211=$AA$34,GETPIVOTDATA("Average of tip %",$AA$32,"size",2),IF(N211=$AA$35,GETPIVOTDATA("Average of tip %",$AA$32,"size",3),IF(N211=$AA$36,GETPIVOTDATA("Average of tip %",$AA$32,"size",4),IF(N211=$AA$37,GETPIVOTDATA("Average of tip %",$AA$32,"size",5),GETPIVOTDATA("Average of tip %",$AA$32,"size",6)))))))</f>
        <v>0.15717554301427045</v>
      </c>
      <c r="S211" s="14">
        <f t="shared" si="9"/>
        <v>2.9519107468319357</v>
      </c>
      <c r="T211" s="17">
        <f t="shared" si="10"/>
        <v>4.6838311818252594</v>
      </c>
      <c r="U211" s="12">
        <f t="shared" si="11"/>
        <v>3.8178709643285975</v>
      </c>
    </row>
    <row r="212" spans="1:21" x14ac:dyDescent="0.2">
      <c r="A212" t="s">
        <v>7</v>
      </c>
      <c r="B212" t="s">
        <v>22</v>
      </c>
      <c r="C212" t="s">
        <v>25</v>
      </c>
      <c r="D212" t="s">
        <v>10</v>
      </c>
      <c r="E212">
        <v>2</v>
      </c>
      <c r="F212">
        <v>16.32</v>
      </c>
      <c r="G212">
        <v>4.3</v>
      </c>
      <c r="H212" s="5">
        <f>G212/F212</f>
        <v>0.26348039215686275</v>
      </c>
      <c r="J212" s="16">
        <f>IF(A212="Male",0, 1)</f>
        <v>1</v>
      </c>
      <c r="K212" s="13">
        <f>IF(B212="No",0, 1)</f>
        <v>1</v>
      </c>
      <c r="L212" s="13">
        <f>IF(C212="Mon",1,IF(C212="Tues",2,IF(C212="Wed",3,IF(C212="Thur",4,IF(C212="Fri",5,IF(C212="Sat",6,7))))))</f>
        <v>5</v>
      </c>
      <c r="M212" s="13">
        <f>IF(D212="Lunch",0,1)</f>
        <v>1</v>
      </c>
      <c r="N212" s="13">
        <v>5</v>
      </c>
      <c r="O212" s="13">
        <v>29.85</v>
      </c>
      <c r="P212" s="13">
        <v>5.14</v>
      </c>
      <c r="Q212" s="15">
        <f>P212/O212</f>
        <v>0.17219430485762141</v>
      </c>
      <c r="R212" s="15">
        <f>AVERAGE(IF(A212="Female",GETPIVOTDATA("tip %",$W$26,"sex","Female"),GETPIVOTDATA("tip %",$W$26,"sex","Male")),IF(K212=0,GETPIVOTDATA("tip %",$AA$26,"smoker","No"),GETPIVOTDATA("tip %",$AA$26,"smoker","Yes")),IF(C212=$W$33,GETPIVOTDATA("tip %",$W$32,"day","Thur"),IF(C212=$W$34,GETPIVOTDATA("tip %",$W$32,"day","Fri"),IF(C212=$W$35,GETPIVOTDATA("tip %",$W$32,"day","Sat"),IF(C212=$W$36,GETPIVOTDATA("tip %",$W$32,"day","Sun"),GETPIVOTDATA("tip %",$W$32))))),IF(D212=$AE$27,GETPIVOTDATA("tip %",$AE$26,"time","Dinner"),GETPIVOTDATA("tip %",$AE$26,"time","Lunch")),IF(N212=$AA$33,GETPIVOTDATA("Average of tip %",$AA$32,"size",1),IF(N212=$AA$34,GETPIVOTDATA("Average of tip %",$AA$32,"size",2),IF(N212=$AA$35,GETPIVOTDATA("Average of tip %",$AA$32,"size",3),IF(N212=$AA$36,GETPIVOTDATA("Average of tip %",$AA$32,"size",4),IF(N212=$AA$37,GETPIVOTDATA("Average of tip %",$AA$32,"size",5),GETPIVOTDATA("Average of tip %",$AA$32,"size",6)))))))</f>
        <v>0.16012261762609584</v>
      </c>
      <c r="S212" s="14">
        <f t="shared" si="9"/>
        <v>2.8523745884479665</v>
      </c>
      <c r="T212" s="17">
        <f t="shared" si="10"/>
        <v>4.7796601361389612</v>
      </c>
      <c r="U212" s="12">
        <f t="shared" si="11"/>
        <v>3.8160173622934641</v>
      </c>
    </row>
    <row r="213" spans="1:21" x14ac:dyDescent="0.2">
      <c r="A213" t="s">
        <v>11</v>
      </c>
      <c r="B213" t="s">
        <v>8</v>
      </c>
      <c r="C213" t="s">
        <v>9</v>
      </c>
      <c r="D213" t="s">
        <v>10</v>
      </c>
      <c r="E213">
        <v>4</v>
      </c>
      <c r="F213">
        <v>25.56</v>
      </c>
      <c r="G213">
        <v>4.34</v>
      </c>
      <c r="H213" s="5">
        <f>G213/F213</f>
        <v>0.16979655712050079</v>
      </c>
      <c r="J213" s="16">
        <f>IF(A213="Male",0, 1)</f>
        <v>0</v>
      </c>
      <c r="K213" s="13">
        <f>IF(B213="No",0, 1)</f>
        <v>0</v>
      </c>
      <c r="L213" s="13">
        <f>IF(C213="Mon",1,IF(C213="Tues",2,IF(C213="Wed",3,IF(C213="Thur",4,IF(C213="Fri",5,IF(C213="Sat",6,7))))))</f>
        <v>7</v>
      </c>
      <c r="M213" s="13">
        <f>IF(D213="Lunch",0,1)</f>
        <v>1</v>
      </c>
      <c r="N213" s="13">
        <v>4</v>
      </c>
      <c r="O213" s="13">
        <v>29.93</v>
      </c>
      <c r="P213" s="13">
        <v>5.07</v>
      </c>
      <c r="Q213" s="15">
        <f>P213/O213</f>
        <v>0.1693952555963916</v>
      </c>
      <c r="R213" s="15">
        <f>AVERAGE(IF(A213="Female",GETPIVOTDATA("tip %",$W$26,"sex","Female"),GETPIVOTDATA("tip %",$W$26,"sex","Male")),IF(K213=0,GETPIVOTDATA("tip %",$AA$26,"smoker","No"),GETPIVOTDATA("tip %",$AA$26,"smoker","Yes")),IF(C213=$W$33,GETPIVOTDATA("tip %",$W$32,"day","Thur"),IF(C213=$W$34,GETPIVOTDATA("tip %",$W$32,"day","Fri"),IF(C213=$W$35,GETPIVOTDATA("tip %",$W$32,"day","Sat"),IF(C213=$W$36,GETPIVOTDATA("tip %",$W$32,"day","Sun"),GETPIVOTDATA("tip %",$W$32))))),IF(D213=$AE$27,GETPIVOTDATA("tip %",$AE$26,"time","Dinner"),GETPIVOTDATA("tip %",$AE$26,"time","Lunch")),IF(N213=$AA$33,GETPIVOTDATA("Average of tip %",$AA$32,"size",1),IF(N213=$AA$34,GETPIVOTDATA("Average of tip %",$AA$32,"size",2),IF(N213=$AA$35,GETPIVOTDATA("Average of tip %",$AA$32,"size",3),IF(N213=$AA$36,GETPIVOTDATA("Average of tip %",$AA$32,"size",4),IF(N213=$AA$37,GETPIVOTDATA("Average of tip %",$AA$32,"size",5),GETPIVOTDATA("Average of tip %",$AA$32,"size",6)))))))</f>
        <v>0.15786861814158762</v>
      </c>
      <c r="S213" s="14">
        <f t="shared" si="9"/>
        <v>3.3149359155857794</v>
      </c>
      <c r="T213" s="17">
        <f t="shared" si="10"/>
        <v>4.7250077409777171</v>
      </c>
      <c r="U213" s="12">
        <f t="shared" si="11"/>
        <v>4.019971828281748</v>
      </c>
    </row>
    <row r="214" spans="1:21" x14ac:dyDescent="0.2">
      <c r="A214" t="s">
        <v>11</v>
      </c>
      <c r="B214" t="s">
        <v>8</v>
      </c>
      <c r="C214" t="s">
        <v>9</v>
      </c>
      <c r="D214" t="s">
        <v>10</v>
      </c>
      <c r="E214">
        <v>4</v>
      </c>
      <c r="F214">
        <v>31.71</v>
      </c>
      <c r="G214">
        <v>4.5</v>
      </c>
      <c r="H214" s="5">
        <f>G214/F214</f>
        <v>0.14191106906338694</v>
      </c>
      <c r="J214" s="16">
        <f>IF(A214="Male",0, 1)</f>
        <v>0</v>
      </c>
      <c r="K214" s="13">
        <f>IF(B214="No",0, 1)</f>
        <v>0</v>
      </c>
      <c r="L214" s="13">
        <f>IF(C214="Mon",1,IF(C214="Tues",2,IF(C214="Wed",3,IF(C214="Thur",4,IF(C214="Fri",5,IF(C214="Sat",6,7))))))</f>
        <v>7</v>
      </c>
      <c r="M214" s="13">
        <f>IF(D214="Lunch",0,1)</f>
        <v>1</v>
      </c>
      <c r="N214" s="13">
        <v>3</v>
      </c>
      <c r="O214" s="13">
        <v>30.06</v>
      </c>
      <c r="P214" s="13">
        <v>2</v>
      </c>
      <c r="Q214" s="15">
        <f>P214/O214</f>
        <v>6.6533599467731214E-2</v>
      </c>
      <c r="R214" s="15">
        <f>AVERAGE(IF(A214="Female",GETPIVOTDATA("tip %",$W$26,"sex","Female"),GETPIVOTDATA("tip %",$W$26,"sex","Male")),IF(K214=0,GETPIVOTDATA("tip %",$AA$26,"smoker","No"),GETPIVOTDATA("tip %",$AA$26,"smoker","Yes")),IF(C214=$W$33,GETPIVOTDATA("tip %",$W$32,"day","Thur"),IF(C214=$W$34,GETPIVOTDATA("tip %",$W$32,"day","Fri"),IF(C214=$W$35,GETPIVOTDATA("tip %",$W$32,"day","Sat"),IF(C214=$W$36,GETPIVOTDATA("tip %",$W$32,"day","Sun"),GETPIVOTDATA("tip %",$W$32))))),IF(D214=$AE$27,GETPIVOTDATA("tip %",$AE$26,"time","Dinner"),GETPIVOTDATA("tip %",$AE$26,"time","Lunch")),IF(N214=$AA$33,GETPIVOTDATA("Average of tip %",$AA$32,"size",1),IF(N214=$AA$34,GETPIVOTDATA("Average of tip %",$AA$32,"size",2),IF(N214=$AA$35,GETPIVOTDATA("Average of tip %",$AA$32,"size",3),IF(N214=$AA$36,GETPIVOTDATA("Average of tip %",$AA$32,"size",4),IF(N214=$AA$37,GETPIVOTDATA("Average of tip %",$AA$32,"size",5),GETPIVOTDATA("Average of tip %",$AA$32,"size",6)))))))</f>
        <v>0.15911018781030864</v>
      </c>
      <c r="S214" s="14">
        <f t="shared" si="9"/>
        <v>3.3149359155857794</v>
      </c>
      <c r="T214" s="17">
        <f t="shared" si="10"/>
        <v>4.7828522455778772</v>
      </c>
      <c r="U214" s="12">
        <f t="shared" si="11"/>
        <v>4.0488940805818281</v>
      </c>
    </row>
    <row r="215" spans="1:21" x14ac:dyDescent="0.2">
      <c r="A215" t="s">
        <v>7</v>
      </c>
      <c r="B215" t="s">
        <v>8</v>
      </c>
      <c r="C215" t="s">
        <v>21</v>
      </c>
      <c r="D215" t="s">
        <v>10</v>
      </c>
      <c r="E215">
        <v>3</v>
      </c>
      <c r="F215">
        <v>35.83</v>
      </c>
      <c r="G215">
        <v>4.67</v>
      </c>
      <c r="H215" s="5">
        <f>G215/F215</f>
        <v>0.13033770583310075</v>
      </c>
      <c r="J215" s="16">
        <f>IF(A215="Male",0, 1)</f>
        <v>1</v>
      </c>
      <c r="K215" s="13">
        <f>IF(B215="No",0, 1)</f>
        <v>0</v>
      </c>
      <c r="L215" s="13">
        <f>IF(C215="Mon",1,IF(C215="Tues",2,IF(C215="Wed",3,IF(C215="Thur",4,IF(C215="Fri",5,IF(C215="Sat",6,7))))))</f>
        <v>6</v>
      </c>
      <c r="M215" s="13">
        <f>IF(D215="Lunch",0,1)</f>
        <v>1</v>
      </c>
      <c r="N215" s="13">
        <v>4</v>
      </c>
      <c r="O215" s="13">
        <v>30.14</v>
      </c>
      <c r="P215" s="13">
        <v>3.09</v>
      </c>
      <c r="Q215" s="15">
        <f>P215/O215</f>
        <v>0.10252156602521566</v>
      </c>
      <c r="R215" s="15">
        <f>AVERAGE(IF(A215="Female",GETPIVOTDATA("tip %",$W$26,"sex","Female"),GETPIVOTDATA("tip %",$W$26,"sex","Male")),IF(K215=0,GETPIVOTDATA("tip %",$AA$26,"smoker","No"),GETPIVOTDATA("tip %",$AA$26,"smoker","Yes")),IF(C215=$W$33,GETPIVOTDATA("tip %",$W$32,"day","Thur"),IF(C215=$W$34,GETPIVOTDATA("tip %",$W$32,"day","Fri"),IF(C215=$W$35,GETPIVOTDATA("tip %",$W$32,"day","Sat"),IF(C215=$W$36,GETPIVOTDATA("tip %",$W$32,"day","Sun"),GETPIVOTDATA("tip %",$W$32))))),IF(D215=$AE$27,GETPIVOTDATA("tip %",$AE$26,"time","Dinner"),GETPIVOTDATA("tip %",$AE$26,"time","Lunch")),IF(N215=$AA$33,GETPIVOTDATA("Average of tip %",$AA$32,"size",1),IF(N215=$AA$34,GETPIVOTDATA("Average of tip %",$AA$32,"size",2),IF(N215=$AA$35,GETPIVOTDATA("Average of tip %",$AA$32,"size",3),IF(N215=$AA$36,GETPIVOTDATA("Average of tip %",$AA$32,"size",4),IF(N215=$AA$37,GETPIVOTDATA("Average of tip %",$AA$32,"size",5),GETPIVOTDATA("Average of tip %",$AA$32,"size",6)))))))</f>
        <v>0.15688754201384175</v>
      </c>
      <c r="S215" s="14">
        <f t="shared" si="9"/>
        <v>3.0628468756111977</v>
      </c>
      <c r="T215" s="17">
        <f t="shared" si="10"/>
        <v>4.7285905162971904</v>
      </c>
      <c r="U215" s="12">
        <f t="shared" si="11"/>
        <v>3.8957186959541943</v>
      </c>
    </row>
    <row r="216" spans="1:21" x14ac:dyDescent="0.2">
      <c r="A216" t="s">
        <v>11</v>
      </c>
      <c r="B216" t="s">
        <v>8</v>
      </c>
      <c r="C216" t="s">
        <v>9</v>
      </c>
      <c r="D216" t="s">
        <v>10</v>
      </c>
      <c r="E216">
        <v>4</v>
      </c>
      <c r="F216">
        <v>25.29</v>
      </c>
      <c r="G216">
        <v>4.71</v>
      </c>
      <c r="H216" s="5">
        <f>G216/F216</f>
        <v>0.18623962040332148</v>
      </c>
      <c r="J216" s="16">
        <f>IF(A216="Male",0, 1)</f>
        <v>0</v>
      </c>
      <c r="K216" s="13">
        <f>IF(B216="No",0, 1)</f>
        <v>0</v>
      </c>
      <c r="L216" s="13">
        <f>IF(C216="Mon",1,IF(C216="Tues",2,IF(C216="Wed",3,IF(C216="Thur",4,IF(C216="Fri",5,IF(C216="Sat",6,7))))))</f>
        <v>7</v>
      </c>
      <c r="M216" s="13">
        <f>IF(D216="Lunch",0,1)</f>
        <v>1</v>
      </c>
      <c r="N216" s="13">
        <v>4</v>
      </c>
      <c r="O216" s="13">
        <v>30.4</v>
      </c>
      <c r="P216" s="13">
        <v>5.6</v>
      </c>
      <c r="Q216" s="15">
        <f>P216/O216</f>
        <v>0.18421052631578946</v>
      </c>
      <c r="R216" s="15">
        <f>AVERAGE(IF(A216="Female",GETPIVOTDATA("tip %",$W$26,"sex","Female"),GETPIVOTDATA("tip %",$W$26,"sex","Male")),IF(K216=0,GETPIVOTDATA("tip %",$AA$26,"smoker","No"),GETPIVOTDATA("tip %",$AA$26,"smoker","Yes")),IF(C216=$W$33,GETPIVOTDATA("tip %",$W$32,"day","Thur"),IF(C216=$W$34,GETPIVOTDATA("tip %",$W$32,"day","Fri"),IF(C216=$W$35,GETPIVOTDATA("tip %",$W$32,"day","Sat"),IF(C216=$W$36,GETPIVOTDATA("tip %",$W$32,"day","Sun"),GETPIVOTDATA("tip %",$W$32))))),IF(D216=$AE$27,GETPIVOTDATA("tip %",$AE$26,"time","Dinner"),GETPIVOTDATA("tip %",$AE$26,"time","Lunch")),IF(N216=$AA$33,GETPIVOTDATA("Average of tip %",$AA$32,"size",1),IF(N216=$AA$34,GETPIVOTDATA("Average of tip %",$AA$32,"size",2),IF(N216=$AA$35,GETPIVOTDATA("Average of tip %",$AA$32,"size",3),IF(N216=$AA$36,GETPIVOTDATA("Average of tip %",$AA$32,"size",4),IF(N216=$AA$37,GETPIVOTDATA("Average of tip %",$AA$32,"size",5),GETPIVOTDATA("Average of tip %",$AA$32,"size",6)))))))</f>
        <v>0.15786861814158762</v>
      </c>
      <c r="S216" s="14">
        <f t="shared" si="9"/>
        <v>3.3149359155857794</v>
      </c>
      <c r="T216" s="17">
        <f t="shared" si="10"/>
        <v>4.7992059915042633</v>
      </c>
      <c r="U216" s="12">
        <f t="shared" si="11"/>
        <v>4.0570709535450211</v>
      </c>
    </row>
    <row r="217" spans="1:21" x14ac:dyDescent="0.2">
      <c r="A217" t="s">
        <v>11</v>
      </c>
      <c r="B217" t="s">
        <v>22</v>
      </c>
      <c r="C217" t="s">
        <v>25</v>
      </c>
      <c r="D217" t="s">
        <v>10</v>
      </c>
      <c r="E217">
        <v>4</v>
      </c>
      <c r="F217">
        <v>40.17</v>
      </c>
      <c r="G217">
        <v>4.7300000000000004</v>
      </c>
      <c r="H217" s="5">
        <f>G217/F217</f>
        <v>0.1177495643515061</v>
      </c>
      <c r="J217" s="16">
        <f>IF(A217="Male",0, 1)</f>
        <v>0</v>
      </c>
      <c r="K217" s="13">
        <f>IF(B217="No",0, 1)</f>
        <v>1</v>
      </c>
      <c r="L217" s="13">
        <f>IF(C217="Mon",1,IF(C217="Tues",2,IF(C217="Wed",3,IF(C217="Thur",4,IF(C217="Fri",5,IF(C217="Sat",6,7))))))</f>
        <v>5</v>
      </c>
      <c r="M217" s="13">
        <f>IF(D217="Lunch",0,1)</f>
        <v>1</v>
      </c>
      <c r="N217" s="13">
        <v>5</v>
      </c>
      <c r="O217" s="13">
        <v>30.46</v>
      </c>
      <c r="P217" s="13">
        <v>2</v>
      </c>
      <c r="Q217" s="15">
        <f>P217/O217</f>
        <v>6.5659881812212731E-2</v>
      </c>
      <c r="R217" s="15">
        <f>AVERAGE(IF(A217="Female",GETPIVOTDATA("tip %",$W$26,"sex","Female"),GETPIVOTDATA("tip %",$W$26,"sex","Male")),IF(K217=0,GETPIVOTDATA("tip %",$AA$26,"smoker","No"),GETPIVOTDATA("tip %",$AA$26,"smoker","Yes")),IF(C217=$W$33,GETPIVOTDATA("tip %",$W$32,"day","Thur"),IF(C217=$W$34,GETPIVOTDATA("tip %",$W$32,"day","Fri"),IF(C217=$W$35,GETPIVOTDATA("tip %",$W$32,"day","Sat"),IF(C217=$W$36,GETPIVOTDATA("tip %",$W$32,"day","Sun"),GETPIVOTDATA("tip %",$W$32))))),IF(D217=$AE$27,GETPIVOTDATA("tip %",$AE$26,"time","Dinner"),GETPIVOTDATA("tip %",$AE$26,"time","Lunch")),IF(N217=$AA$33,GETPIVOTDATA("Average of tip %",$AA$32,"size",1),IF(N217=$AA$34,GETPIVOTDATA("Average of tip %",$AA$32,"size",2),IF(N217=$AA$35,GETPIVOTDATA("Average of tip %",$AA$32,"size",3),IF(N217=$AA$36,GETPIVOTDATA("Average of tip %",$AA$32,"size",4),IF(N217=$AA$37,GETPIVOTDATA("Average of tip %",$AA$32,"size",5),GETPIVOTDATA("Average of tip %",$AA$32,"size",6)))))))</f>
        <v>0.1583545797611704</v>
      </c>
      <c r="S217" s="14">
        <f t="shared" si="9"/>
        <v>3.2142280427740766</v>
      </c>
      <c r="T217" s="17">
        <f t="shared" si="10"/>
        <v>4.8234804995252505</v>
      </c>
      <c r="U217" s="12">
        <f t="shared" si="11"/>
        <v>4.0188542711496638</v>
      </c>
    </row>
    <row r="218" spans="1:21" x14ac:dyDescent="0.2">
      <c r="A218" t="s">
        <v>11</v>
      </c>
      <c r="B218" t="s">
        <v>8</v>
      </c>
      <c r="C218" t="s">
        <v>9</v>
      </c>
      <c r="D218" t="s">
        <v>10</v>
      </c>
      <c r="E218">
        <v>2</v>
      </c>
      <c r="F218">
        <v>22.23</v>
      </c>
      <c r="G218">
        <v>5</v>
      </c>
      <c r="H218" s="5">
        <f>G218/F218</f>
        <v>0.22492127755285649</v>
      </c>
      <c r="J218" s="16">
        <f>IF(A218="Male",0, 1)</f>
        <v>0</v>
      </c>
      <c r="K218" s="13">
        <f>IF(B218="No",0, 1)</f>
        <v>0</v>
      </c>
      <c r="L218" s="13">
        <f>IF(C218="Mon",1,IF(C218="Tues",2,IF(C218="Wed",3,IF(C218="Thur",4,IF(C218="Fri",5,IF(C218="Sat",6,7))))))</f>
        <v>7</v>
      </c>
      <c r="M218" s="13">
        <f>IF(D218="Lunch",0,1)</f>
        <v>1</v>
      </c>
      <c r="N218" s="13">
        <v>3</v>
      </c>
      <c r="O218" s="13">
        <v>31.27</v>
      </c>
      <c r="P218" s="13">
        <v>5</v>
      </c>
      <c r="Q218" s="15">
        <f>P218/O218</f>
        <v>0.1598976654940838</v>
      </c>
      <c r="R218" s="15">
        <f>AVERAGE(IF(A218="Female",GETPIVOTDATA("tip %",$W$26,"sex","Female"),GETPIVOTDATA("tip %",$W$26,"sex","Male")),IF(K218=0,GETPIVOTDATA("tip %",$AA$26,"smoker","No"),GETPIVOTDATA("tip %",$AA$26,"smoker","Yes")),IF(C218=$W$33,GETPIVOTDATA("tip %",$W$32,"day","Thur"),IF(C218=$W$34,GETPIVOTDATA("tip %",$W$32,"day","Fri"),IF(C218=$W$35,GETPIVOTDATA("tip %",$W$32,"day","Sat"),IF(C218=$W$36,GETPIVOTDATA("tip %",$W$32,"day","Sun"),GETPIVOTDATA("tip %",$W$32))))),IF(D218=$AE$27,GETPIVOTDATA("tip %",$AE$26,"time","Dinner"),GETPIVOTDATA("tip %",$AE$26,"time","Lunch")),IF(N218=$AA$33,GETPIVOTDATA("Average of tip %",$AA$32,"size",1),IF(N218=$AA$34,GETPIVOTDATA("Average of tip %",$AA$32,"size",2),IF(N218=$AA$35,GETPIVOTDATA("Average of tip %",$AA$32,"size",3),IF(N218=$AA$36,GETPIVOTDATA("Average of tip %",$AA$32,"size",4),IF(N218=$AA$37,GETPIVOTDATA("Average of tip %",$AA$32,"size",5),GETPIVOTDATA("Average of tip %",$AA$32,"size",6)))))))</f>
        <v>0.15911018781030864</v>
      </c>
      <c r="S218" s="14">
        <f t="shared" si="9"/>
        <v>3.0043163729662368</v>
      </c>
      <c r="T218" s="17">
        <f t="shared" si="10"/>
        <v>4.9753755728283515</v>
      </c>
      <c r="U218" s="12">
        <f t="shared" si="11"/>
        <v>3.9898459728972941</v>
      </c>
    </row>
    <row r="219" spans="1:21" x14ac:dyDescent="0.2">
      <c r="A219" t="s">
        <v>7</v>
      </c>
      <c r="B219" t="s">
        <v>22</v>
      </c>
      <c r="C219" t="s">
        <v>21</v>
      </c>
      <c r="D219" t="s">
        <v>10</v>
      </c>
      <c r="E219">
        <v>2</v>
      </c>
      <c r="F219">
        <v>25.28</v>
      </c>
      <c r="G219">
        <v>5</v>
      </c>
      <c r="H219" s="5">
        <f>G219/F219</f>
        <v>0.19778481012658228</v>
      </c>
      <c r="J219" s="16">
        <f>IF(A219="Male",0, 1)</f>
        <v>1</v>
      </c>
      <c r="K219" s="13">
        <f>IF(B219="No",0, 1)</f>
        <v>1</v>
      </c>
      <c r="L219" s="13">
        <f>IF(C219="Mon",1,IF(C219="Tues",2,IF(C219="Wed",3,IF(C219="Thur",4,IF(C219="Fri",5,IF(C219="Sat",6,7))))))</f>
        <v>6</v>
      </c>
      <c r="M219" s="13">
        <f>IF(D219="Lunch",0,1)</f>
        <v>1</v>
      </c>
      <c r="N219" s="13">
        <v>4</v>
      </c>
      <c r="O219" s="13">
        <v>31.71</v>
      </c>
      <c r="P219" s="13">
        <v>4.5</v>
      </c>
      <c r="Q219" s="15">
        <f>P219/O219</f>
        <v>0.14191106906338694</v>
      </c>
      <c r="R219" s="15">
        <f>AVERAGE(IF(A219="Female",GETPIVOTDATA("tip %",$W$26,"sex","Female"),GETPIVOTDATA("tip %",$W$26,"sex","Male")),IF(K219=0,GETPIVOTDATA("tip %",$AA$26,"smoker","No"),GETPIVOTDATA("tip %",$AA$26,"smoker","Yes")),IF(C219=$W$33,GETPIVOTDATA("tip %",$W$32,"day","Thur"),IF(C219=$W$34,GETPIVOTDATA("tip %",$W$32,"day","Fri"),IF(C219=$W$35,GETPIVOTDATA("tip %",$W$32,"day","Sat"),IF(C219=$W$36,GETPIVOTDATA("tip %",$W$32,"day","Sun"),GETPIVOTDATA("tip %",$W$32))))),IF(D219=$AE$27,GETPIVOTDATA("tip %",$AE$26,"time","Dinner"),GETPIVOTDATA("tip %",$AE$26,"time","Lunch")),IF(N219=$AA$33,GETPIVOTDATA("Average of tip %",$AA$32,"size",1),IF(N219=$AA$34,GETPIVOTDATA("Average of tip %",$AA$32,"size",2),IF(N219=$AA$35,GETPIVOTDATA("Average of tip %",$AA$32,"size",3),IF(N219=$AA$36,GETPIVOTDATA("Average of tip %",$AA$32,"size",4),IF(N219=$AA$37,GETPIVOTDATA("Average of tip %",$AA$32,"size",5),GETPIVOTDATA("Average of tip %",$AA$32,"size",6)))))))</f>
        <v>0.15766105850537432</v>
      </c>
      <c r="S219" s="14">
        <f t="shared" si="9"/>
        <v>2.9040479096820868</v>
      </c>
      <c r="T219" s="17">
        <f t="shared" si="10"/>
        <v>4.9994321652054197</v>
      </c>
      <c r="U219" s="12">
        <f t="shared" si="11"/>
        <v>3.951740037443753</v>
      </c>
    </row>
    <row r="220" spans="1:21" x14ac:dyDescent="0.2">
      <c r="A220" t="s">
        <v>11</v>
      </c>
      <c r="B220" t="s">
        <v>22</v>
      </c>
      <c r="C220" t="s">
        <v>23</v>
      </c>
      <c r="D220" t="s">
        <v>24</v>
      </c>
      <c r="E220">
        <v>2</v>
      </c>
      <c r="F220">
        <v>32.68</v>
      </c>
      <c r="G220">
        <v>5</v>
      </c>
      <c r="H220" s="5">
        <f>G220/F220</f>
        <v>0.15299877600979192</v>
      </c>
      <c r="J220" s="16">
        <f>IF(A220="Male",0, 1)</f>
        <v>0</v>
      </c>
      <c r="K220" s="13">
        <f>IF(B220="No",0, 1)</f>
        <v>1</v>
      </c>
      <c r="L220" s="13">
        <f>IF(C220="Mon",1,IF(C220="Tues",2,IF(C220="Wed",3,IF(C220="Thur",4,IF(C220="Fri",5,IF(C220="Sat",6,7))))))</f>
        <v>4</v>
      </c>
      <c r="M220" s="13">
        <f>IF(D220="Lunch",0,1)</f>
        <v>0</v>
      </c>
      <c r="N220" s="13">
        <v>2</v>
      </c>
      <c r="O220" s="13">
        <v>31.85</v>
      </c>
      <c r="P220" s="13">
        <v>3.18</v>
      </c>
      <c r="Q220" s="15">
        <f>P220/O220</f>
        <v>9.9843014128728411E-2</v>
      </c>
      <c r="R220" s="15">
        <f>AVERAGE(IF(A220="Female",GETPIVOTDATA("tip %",$W$26,"sex","Female"),GETPIVOTDATA("tip %",$W$26,"sex","Male")),IF(K220=0,GETPIVOTDATA("tip %",$AA$26,"smoker","No"),GETPIVOTDATA("tip %",$AA$26,"smoker","Yes")),IF(C220=$W$33,GETPIVOTDATA("tip %",$W$32,"day","Thur"),IF(C220=$W$34,GETPIVOTDATA("tip %",$W$32,"day","Fri"),IF(C220=$W$35,GETPIVOTDATA("tip %",$W$32,"day","Sat"),IF(C220=$W$36,GETPIVOTDATA("tip %",$W$32,"day","Sun"),GETPIVOTDATA("tip %",$W$32))))),IF(D220=$AE$27,GETPIVOTDATA("tip %",$AE$26,"time","Dinner"),GETPIVOTDATA("tip %",$AE$26,"time","Lunch")),IF(N220=$AA$33,GETPIVOTDATA("Average of tip %",$AA$32,"size",1),IF(N220=$AA$34,GETPIVOTDATA("Average of tip %",$AA$32,"size",2),IF(N220=$AA$35,GETPIVOTDATA("Average of tip %",$AA$32,"size",3),IF(N220=$AA$36,GETPIVOTDATA("Average of tip %",$AA$32,"size",4),IF(N220=$AA$37,GETPIVOTDATA("Average of tip %",$AA$32,"size",5),GETPIVOTDATA("Average of tip %",$AA$32,"size",6)))))))</f>
        <v>0.16239386910103129</v>
      </c>
      <c r="S220" s="14">
        <f t="shared" si="9"/>
        <v>2.836035010463859</v>
      </c>
      <c r="T220" s="17">
        <f t="shared" si="10"/>
        <v>5.1722447308678472</v>
      </c>
      <c r="U220" s="12">
        <f t="shared" si="11"/>
        <v>4.0041398706658526</v>
      </c>
    </row>
    <row r="221" spans="1:21" x14ac:dyDescent="0.2">
      <c r="A221" t="s">
        <v>11</v>
      </c>
      <c r="B221" t="s">
        <v>8</v>
      </c>
      <c r="C221" t="s">
        <v>21</v>
      </c>
      <c r="D221" t="s">
        <v>10</v>
      </c>
      <c r="E221">
        <v>3</v>
      </c>
      <c r="F221">
        <v>31.27</v>
      </c>
      <c r="G221">
        <v>5</v>
      </c>
      <c r="H221" s="5">
        <f>G221/F221</f>
        <v>0.1598976654940838</v>
      </c>
      <c r="J221" s="16">
        <f>IF(A221="Male",0, 1)</f>
        <v>0</v>
      </c>
      <c r="K221" s="13">
        <f>IF(B221="No",0, 1)</f>
        <v>0</v>
      </c>
      <c r="L221" s="13">
        <f>IF(C221="Mon",1,IF(C221="Tues",2,IF(C221="Wed",3,IF(C221="Thur",4,IF(C221="Fri",5,IF(C221="Sat",6,7))))))</f>
        <v>6</v>
      </c>
      <c r="M221" s="13">
        <f>IF(D221="Lunch",0,1)</f>
        <v>1</v>
      </c>
      <c r="N221" s="13">
        <v>4</v>
      </c>
      <c r="O221" s="13">
        <v>32.4</v>
      </c>
      <c r="P221" s="13">
        <v>6</v>
      </c>
      <c r="Q221" s="15">
        <f>P221/O221</f>
        <v>0.1851851851851852</v>
      </c>
      <c r="R221" s="15">
        <f>AVERAGE(IF(A221="Female",GETPIVOTDATA("tip %",$W$26,"sex","Female"),GETPIVOTDATA("tip %",$W$26,"sex","Male")),IF(K221=0,GETPIVOTDATA("tip %",$AA$26,"smoker","No"),GETPIVOTDATA("tip %",$AA$26,"smoker","Yes")),IF(C221=$W$33,GETPIVOTDATA("tip %",$W$32,"day","Thur"),IF(C221=$W$34,GETPIVOTDATA("tip %",$W$32,"day","Fri"),IF(C221=$W$35,GETPIVOTDATA("tip %",$W$32,"day","Sat"),IF(C221=$W$36,GETPIVOTDATA("tip %",$W$32,"day","Sun"),GETPIVOTDATA("tip %",$W$32))))),IF(D221=$AE$27,GETPIVOTDATA("tip %",$AE$26,"time","Dinner"),GETPIVOTDATA("tip %",$AE$26,"time","Lunch")),IF(N221=$AA$33,GETPIVOTDATA("Average of tip %",$AA$32,"size",1),IF(N221=$AA$34,GETPIVOTDATA("Average of tip %",$AA$32,"size",2),IF(N221=$AA$35,GETPIVOTDATA("Average of tip %",$AA$32,"size",3),IF(N221=$AA$36,GETPIVOTDATA("Average of tip %",$AA$32,"size",4),IF(N221=$AA$37,GETPIVOTDATA("Average of tip %",$AA$32,"size",5),GETPIVOTDATA("Average of tip %",$AA$32,"size",6)))))))</f>
        <v>0.15511950414891634</v>
      </c>
      <c r="S221" s="14">
        <f t="shared" si="9"/>
        <v>3.1140807873177652</v>
      </c>
      <c r="T221" s="17">
        <f t="shared" si="10"/>
        <v>5.025871934424889</v>
      </c>
      <c r="U221" s="12">
        <f t="shared" si="11"/>
        <v>4.0699763608713271</v>
      </c>
    </row>
    <row r="222" spans="1:21" x14ac:dyDescent="0.2">
      <c r="A222" t="s">
        <v>7</v>
      </c>
      <c r="B222" t="s">
        <v>8</v>
      </c>
      <c r="C222" t="s">
        <v>9</v>
      </c>
      <c r="D222" t="s">
        <v>10</v>
      </c>
      <c r="E222">
        <v>4</v>
      </c>
      <c r="F222">
        <v>35.26</v>
      </c>
      <c r="G222">
        <v>5</v>
      </c>
      <c r="H222" s="5">
        <f>G222/F222</f>
        <v>0.14180374361883155</v>
      </c>
      <c r="J222" s="16">
        <f>IF(A222="Male",0, 1)</f>
        <v>1</v>
      </c>
      <c r="K222" s="13">
        <f>IF(B222="No",0, 1)</f>
        <v>0</v>
      </c>
      <c r="L222" s="13">
        <f>IF(C222="Mon",1,IF(C222="Tues",2,IF(C222="Wed",3,IF(C222="Thur",4,IF(C222="Fri",5,IF(C222="Sat",6,7))))))</f>
        <v>7</v>
      </c>
      <c r="M222" s="13">
        <f>IF(D222="Lunch",0,1)</f>
        <v>1</v>
      </c>
      <c r="N222" s="13">
        <v>2</v>
      </c>
      <c r="O222" s="13">
        <v>32.68</v>
      </c>
      <c r="P222" s="13">
        <v>5</v>
      </c>
      <c r="Q222" s="15">
        <f>P222/O222</f>
        <v>0.15299877600979192</v>
      </c>
      <c r="R222" s="15">
        <f>AVERAGE(IF(A222="Female",GETPIVOTDATA("tip %",$W$26,"sex","Female"),GETPIVOTDATA("tip %",$W$26,"sex","Male")),IF(K222=0,GETPIVOTDATA("tip %",$AA$26,"smoker","No"),GETPIVOTDATA("tip %",$AA$26,"smoker","Yes")),IF(C222=$W$33,GETPIVOTDATA("tip %",$W$32,"day","Thur"),IF(C222=$W$34,GETPIVOTDATA("tip %",$W$32,"day","Fri"),IF(C222=$W$35,GETPIVOTDATA("tip %",$W$32,"day","Sat"),IF(C222=$W$36,GETPIVOTDATA("tip %",$W$32,"day","Sun"),GETPIVOTDATA("tip %",$W$32))))),IF(D222=$AE$27,GETPIVOTDATA("tip %",$AE$26,"time","Dinner"),GETPIVOTDATA("tip %",$AE$26,"time","Lunch")),IF(N222=$AA$33,GETPIVOTDATA("Average of tip %",$AA$32,"size",1),IF(N222=$AA$34,GETPIVOTDATA("Average of tip %",$AA$32,"size",2),IF(N222=$AA$35,GETPIVOTDATA("Average of tip %",$AA$32,"size",3),IF(N222=$AA$36,GETPIVOTDATA("Average of tip %",$AA$32,"size",4),IF(N222=$AA$37,GETPIVOTDATA("Average of tip %",$AA$32,"size",5),GETPIVOTDATA("Average of tip %",$AA$32,"size",6)))))))</f>
        <v>0.16359069307477619</v>
      </c>
      <c r="S222" s="14">
        <f t="shared" si="9"/>
        <v>3.2637020038792115</v>
      </c>
      <c r="T222" s="17">
        <f t="shared" si="10"/>
        <v>5.3461438496836857</v>
      </c>
      <c r="U222" s="12">
        <f t="shared" si="11"/>
        <v>4.3049229267814484</v>
      </c>
    </row>
    <row r="223" spans="1:21" x14ac:dyDescent="0.2">
      <c r="A223" t="s">
        <v>7</v>
      </c>
      <c r="B223" t="s">
        <v>22</v>
      </c>
      <c r="C223" t="s">
        <v>23</v>
      </c>
      <c r="D223" t="s">
        <v>24</v>
      </c>
      <c r="E223">
        <v>4</v>
      </c>
      <c r="F223">
        <v>43.11</v>
      </c>
      <c r="G223">
        <v>5</v>
      </c>
      <c r="H223" s="5">
        <f>G223/F223</f>
        <v>0.11598237067965669</v>
      </c>
      <c r="J223" s="16">
        <f>IF(A223="Male",0, 1)</f>
        <v>1</v>
      </c>
      <c r="K223" s="13">
        <f>IF(B223="No",0, 1)</f>
        <v>1</v>
      </c>
      <c r="L223" s="13">
        <f>IF(C223="Mon",1,IF(C223="Tues",2,IF(C223="Wed",3,IF(C223="Thur",4,IF(C223="Fri",5,IF(C223="Sat",6,7))))))</f>
        <v>4</v>
      </c>
      <c r="M223" s="13">
        <f>IF(D223="Lunch",0,1)</f>
        <v>0</v>
      </c>
      <c r="N223" s="13">
        <v>2</v>
      </c>
      <c r="O223" s="13">
        <v>32.83</v>
      </c>
      <c r="P223" s="13">
        <v>1.17</v>
      </c>
      <c r="Q223" s="15">
        <f>P223/O223</f>
        <v>3.5638135851355467E-2</v>
      </c>
      <c r="R223" s="15">
        <f>AVERAGE(IF(A223="Female",GETPIVOTDATA("tip %",$W$26,"sex","Female"),GETPIVOTDATA("tip %",$W$26,"sex","Male")),IF(K223=0,GETPIVOTDATA("tip %",$AA$26,"smoker","No"),GETPIVOTDATA("tip %",$AA$26,"smoker","Yes")),IF(C223=$W$33,GETPIVOTDATA("tip %",$W$32,"day","Thur"),IF(C223=$W$34,GETPIVOTDATA("tip %",$W$32,"day","Fri"),IF(C223=$W$35,GETPIVOTDATA("tip %",$W$32,"day","Sat"),IF(C223=$W$36,GETPIVOTDATA("tip %",$W$32,"day","Sun"),GETPIVOTDATA("tip %",$W$32))))),IF(D223=$AE$27,GETPIVOTDATA("tip %",$AE$26,"time","Dinner"),GETPIVOTDATA("tip %",$AE$26,"time","Lunch")),IF(N223=$AA$33,GETPIVOTDATA("Average of tip %",$AA$32,"size",1),IF(N223=$AA$34,GETPIVOTDATA("Average of tip %",$AA$32,"size",2),IF(N223=$AA$35,GETPIVOTDATA("Average of tip %",$AA$32,"size",3),IF(N223=$AA$36,GETPIVOTDATA("Average of tip %",$AA$32,"size",4),IF(N223=$AA$37,GETPIVOTDATA("Average of tip %",$AA$32,"size",5),GETPIVOTDATA("Average of tip %",$AA$32,"size",6)))))))</f>
        <v>0.16416190696595673</v>
      </c>
      <c r="S223" s="14">
        <f t="shared" si="9"/>
        <v>3.0954206413768341</v>
      </c>
      <c r="T223" s="17">
        <f t="shared" si="10"/>
        <v>5.3894354056923595</v>
      </c>
      <c r="U223" s="12">
        <f t="shared" si="11"/>
        <v>4.2424280235345968</v>
      </c>
    </row>
    <row r="224" spans="1:21" x14ac:dyDescent="0.2">
      <c r="A224" t="s">
        <v>11</v>
      </c>
      <c r="B224" t="s">
        <v>8</v>
      </c>
      <c r="C224" t="s">
        <v>23</v>
      </c>
      <c r="D224" t="s">
        <v>24</v>
      </c>
      <c r="E224">
        <v>5</v>
      </c>
      <c r="F224">
        <v>41.19</v>
      </c>
      <c r="G224">
        <v>5</v>
      </c>
      <c r="H224" s="5">
        <f>G224/F224</f>
        <v>0.12138868657441128</v>
      </c>
      <c r="J224" s="16">
        <f>IF(A224="Male",0, 1)</f>
        <v>0</v>
      </c>
      <c r="K224" s="13">
        <f>IF(B224="No",0, 1)</f>
        <v>0</v>
      </c>
      <c r="L224" s="13">
        <f>IF(C224="Mon",1,IF(C224="Tues",2,IF(C224="Wed",3,IF(C224="Thur",4,IF(C224="Fri",5,IF(C224="Sat",6,7))))))</f>
        <v>4</v>
      </c>
      <c r="M224" s="13">
        <f>IF(D224="Lunch",0,1)</f>
        <v>0</v>
      </c>
      <c r="N224" s="13">
        <v>2</v>
      </c>
      <c r="O224" s="13">
        <v>32.9</v>
      </c>
      <c r="P224" s="13">
        <v>3.11</v>
      </c>
      <c r="Q224" s="15">
        <f>P224/O224</f>
        <v>9.4528875379939203E-2</v>
      </c>
      <c r="R224" s="15">
        <f>AVERAGE(IF(A224="Female",GETPIVOTDATA("tip %",$W$26,"sex","Female"),GETPIVOTDATA("tip %",$W$26,"sex","Male")),IF(K224=0,GETPIVOTDATA("tip %",$AA$26,"smoker","No"),GETPIVOTDATA("tip %",$AA$26,"smoker","Yes")),IF(C224=$W$33,GETPIVOTDATA("tip %",$W$32,"day","Thur"),IF(C224=$W$34,GETPIVOTDATA("tip %",$W$32,"day","Fri"),IF(C224=$W$35,GETPIVOTDATA("tip %",$W$32,"day","Sat"),IF(C224=$W$36,GETPIVOTDATA("tip %",$W$32,"day","Sun"),GETPIVOTDATA("tip %",$W$32))))),IF(D224=$AE$27,GETPIVOTDATA("tip %",$AE$26,"time","Dinner"),GETPIVOTDATA("tip %",$AE$26,"time","Lunch")),IF(N224=$AA$33,GETPIVOTDATA("Average of tip %",$AA$32,"size",1),IF(N224=$AA$34,GETPIVOTDATA("Average of tip %",$AA$32,"size",2),IF(N224=$AA$35,GETPIVOTDATA("Average of tip %",$AA$32,"size",3),IF(N224=$AA$36,GETPIVOTDATA("Average of tip %",$AA$32,"size",4),IF(N224=$AA$37,GETPIVOTDATA("Average of tip %",$AA$32,"size",5),GETPIVOTDATA("Average of tip %",$AA$32,"size",6)))))))</f>
        <v>0.16162035260949875</v>
      </c>
      <c r="S224" s="14">
        <f t="shared" si="9"/>
        <v>3.1218023974456024</v>
      </c>
      <c r="T224" s="17">
        <f t="shared" si="10"/>
        <v>5.3173096008525089</v>
      </c>
      <c r="U224" s="12">
        <f t="shared" si="11"/>
        <v>4.2195559991490557</v>
      </c>
    </row>
    <row r="225" spans="1:21" x14ac:dyDescent="0.2">
      <c r="A225" t="s">
        <v>11</v>
      </c>
      <c r="B225" t="s">
        <v>8</v>
      </c>
      <c r="C225" t="s">
        <v>9</v>
      </c>
      <c r="D225" t="s">
        <v>10</v>
      </c>
      <c r="E225">
        <v>5</v>
      </c>
      <c r="F225">
        <v>20.69</v>
      </c>
      <c r="G225">
        <v>5</v>
      </c>
      <c r="H225" s="5">
        <f>G225/F225</f>
        <v>0.24166263895601739</v>
      </c>
      <c r="J225" s="16">
        <f>IF(A225="Male",0, 1)</f>
        <v>0</v>
      </c>
      <c r="K225" s="13">
        <f>IF(B225="No",0, 1)</f>
        <v>0</v>
      </c>
      <c r="L225" s="13">
        <f>IF(C225="Mon",1,IF(C225="Tues",2,IF(C225="Wed",3,IF(C225="Thur",4,IF(C225="Fri",5,IF(C225="Sat",6,7))))))</f>
        <v>7</v>
      </c>
      <c r="M225" s="13">
        <f>IF(D225="Lunch",0,1)</f>
        <v>1</v>
      </c>
      <c r="N225" s="13">
        <v>6</v>
      </c>
      <c r="O225" s="13">
        <v>34.299999999999997</v>
      </c>
      <c r="P225" s="13">
        <v>6.7</v>
      </c>
      <c r="Q225" s="15">
        <f>P225/O225</f>
        <v>0.19533527696793004</v>
      </c>
      <c r="R225" s="15">
        <f>AVERAGE(IF(A225="Female",GETPIVOTDATA("tip %",$W$26,"sex","Female"),GETPIVOTDATA("tip %",$W$26,"sex","Male")),IF(K225=0,GETPIVOTDATA("tip %",$AA$26,"smoker","No"),GETPIVOTDATA("tip %",$AA$26,"smoker","Yes")),IF(C225=$W$33,GETPIVOTDATA("tip %",$W$32,"day","Thur"),IF(C225=$W$34,GETPIVOTDATA("tip %",$W$32,"day","Fri"),IF(C225=$W$35,GETPIVOTDATA("tip %",$W$32,"day","Sat"),IF(C225=$W$36,GETPIVOTDATA("tip %",$W$32,"day","Sun"),GETPIVOTDATA("tip %",$W$32))))),IF(D225=$AE$27,GETPIVOTDATA("tip %",$AE$26,"time","Dinner"),GETPIVOTDATA("tip %",$AE$26,"time","Lunch")),IF(N225=$AA$33,GETPIVOTDATA("Average of tip %",$AA$32,"size",1),IF(N225=$AA$34,GETPIVOTDATA("Average of tip %",$AA$32,"size",2),IF(N225=$AA$35,GETPIVOTDATA("Average of tip %",$AA$32,"size",3),IF(N225=$AA$36,GETPIVOTDATA("Average of tip %",$AA$32,"size",4),IF(N225=$AA$37,GETPIVOTDATA("Average of tip %",$AA$32,"size",5),GETPIVOTDATA("Average of tip %",$AA$32,"size",6)))))))</f>
        <v>0.15992465700694172</v>
      </c>
      <c r="S225" s="14">
        <f t="shared" si="9"/>
        <v>3.2934548345046983</v>
      </c>
      <c r="T225" s="17">
        <f t="shared" si="10"/>
        <v>5.4854157353381003</v>
      </c>
      <c r="U225" s="12">
        <f t="shared" si="11"/>
        <v>4.3894352849213991</v>
      </c>
    </row>
    <row r="226" spans="1:21" x14ac:dyDescent="0.2">
      <c r="A226" t="s">
        <v>7</v>
      </c>
      <c r="B226" t="s">
        <v>8</v>
      </c>
      <c r="C226" t="s">
        <v>23</v>
      </c>
      <c r="D226" t="s">
        <v>24</v>
      </c>
      <c r="E226">
        <v>6</v>
      </c>
      <c r="F226">
        <v>27.05</v>
      </c>
      <c r="G226">
        <v>5</v>
      </c>
      <c r="H226" s="5">
        <f>G226/F226</f>
        <v>0.18484288354898337</v>
      </c>
      <c r="J226" s="16">
        <f>IF(A226="Male",0, 1)</f>
        <v>1</v>
      </c>
      <c r="K226" s="13">
        <f>IF(B226="No",0, 1)</f>
        <v>0</v>
      </c>
      <c r="L226" s="13">
        <f>IF(C226="Mon",1,IF(C226="Tues",2,IF(C226="Wed",3,IF(C226="Thur",4,IF(C226="Fri",5,IF(C226="Sat",6,7))))))</f>
        <v>4</v>
      </c>
      <c r="M226" s="13">
        <f>IF(D226="Lunch",0,1)</f>
        <v>0</v>
      </c>
      <c r="N226" s="13">
        <v>2</v>
      </c>
      <c r="O226" s="13">
        <v>34.630000000000003</v>
      </c>
      <c r="P226" s="13">
        <v>3.55</v>
      </c>
      <c r="Q226" s="15">
        <f>P226/O226</f>
        <v>0.102512272596015</v>
      </c>
      <c r="R226" s="15">
        <f>AVERAGE(IF(A226="Female",GETPIVOTDATA("tip %",$W$26,"sex","Female"),GETPIVOTDATA("tip %",$W$26,"sex","Male")),IF(K226=0,GETPIVOTDATA("tip %",$AA$26,"smoker","No"),GETPIVOTDATA("tip %",$AA$26,"smoker","Yes")),IF(C226=$W$33,GETPIVOTDATA("tip %",$W$32,"day","Thur"),IF(C226=$W$34,GETPIVOTDATA("tip %",$W$32,"day","Fri"),IF(C226=$W$35,GETPIVOTDATA("tip %",$W$32,"day","Sat"),IF(C226=$W$36,GETPIVOTDATA("tip %",$W$32,"day","Sun"),GETPIVOTDATA("tip %",$W$32))))),IF(D226=$AE$27,GETPIVOTDATA("tip %",$AE$26,"time","Dinner"),GETPIVOTDATA("tip %",$AE$26,"time","Lunch")),IF(N226=$AA$33,GETPIVOTDATA("Average of tip %",$AA$32,"size",1),IF(N226=$AA$34,GETPIVOTDATA("Average of tip %",$AA$32,"size",2),IF(N226=$AA$35,GETPIVOTDATA("Average of tip %",$AA$32,"size",3),IF(N226=$AA$36,GETPIVOTDATA("Average of tip %",$AA$32,"size",4),IF(N226=$AA$37,GETPIVOTDATA("Average of tip %",$AA$32,"size",5),GETPIVOTDATA("Average of tip %",$AA$32,"size",6)))))))</f>
        <v>0.16338839047442422</v>
      </c>
      <c r="S226" s="14">
        <f t="shared" si="9"/>
        <v>3.3099684857390343</v>
      </c>
      <c r="T226" s="17">
        <f t="shared" si="10"/>
        <v>5.6581399621293107</v>
      </c>
      <c r="U226" s="12">
        <f t="shared" si="11"/>
        <v>4.484054223934173</v>
      </c>
    </row>
    <row r="227" spans="1:21" x14ac:dyDescent="0.2">
      <c r="A227" t="s">
        <v>11</v>
      </c>
      <c r="B227" t="s">
        <v>8</v>
      </c>
      <c r="C227" t="s">
        <v>9</v>
      </c>
      <c r="D227" t="s">
        <v>10</v>
      </c>
      <c r="E227">
        <v>6</v>
      </c>
      <c r="F227">
        <v>48.17</v>
      </c>
      <c r="G227">
        <v>5</v>
      </c>
      <c r="H227" s="5">
        <f>G227/F227</f>
        <v>0.10379904504878555</v>
      </c>
      <c r="J227" s="16">
        <f>IF(A227="Male",0, 1)</f>
        <v>0</v>
      </c>
      <c r="K227" s="13">
        <f>IF(B227="No",0, 1)</f>
        <v>0</v>
      </c>
      <c r="L227" s="13">
        <f>IF(C227="Mon",1,IF(C227="Tues",2,IF(C227="Wed",3,IF(C227="Thur",4,IF(C227="Fri",5,IF(C227="Sat",6,7))))))</f>
        <v>7</v>
      </c>
      <c r="M227" s="13">
        <f>IF(D227="Lunch",0,1)</f>
        <v>1</v>
      </c>
      <c r="N227" s="13">
        <v>4</v>
      </c>
      <c r="O227" s="13">
        <v>34.65</v>
      </c>
      <c r="P227" s="13">
        <v>3.68</v>
      </c>
      <c r="Q227" s="15">
        <f>P227/O227</f>
        <v>0.10620490620490622</v>
      </c>
      <c r="R227" s="15">
        <f>AVERAGE(IF(A227="Female",GETPIVOTDATA("tip %",$W$26,"sex","Female"),GETPIVOTDATA("tip %",$W$26,"sex","Male")),IF(K227=0,GETPIVOTDATA("tip %",$AA$26,"smoker","No"),GETPIVOTDATA("tip %",$AA$26,"smoker","Yes")),IF(C227=$W$33,GETPIVOTDATA("tip %",$W$32,"day","Thur"),IF(C227=$W$34,GETPIVOTDATA("tip %",$W$32,"day","Fri"),IF(C227=$W$35,GETPIVOTDATA("tip %",$W$32,"day","Sat"),IF(C227=$W$36,GETPIVOTDATA("tip %",$W$32,"day","Sun"),GETPIVOTDATA("tip %",$W$32))))),IF(D227=$AE$27,GETPIVOTDATA("tip %",$AE$26,"time","Dinner"),GETPIVOTDATA("tip %",$AE$26,"time","Lunch")),IF(N227=$AA$33,GETPIVOTDATA("Average of tip %",$AA$32,"size",1),IF(N227=$AA$34,GETPIVOTDATA("Average of tip %",$AA$32,"size",2),IF(N227=$AA$35,GETPIVOTDATA("Average of tip %",$AA$32,"size",3),IF(N227=$AA$36,GETPIVOTDATA("Average of tip %",$AA$32,"size",4),IF(N227=$AA$37,GETPIVOTDATA("Average of tip %",$AA$32,"size",5),GETPIVOTDATA("Average of tip %",$AA$32,"size",6)))))))</f>
        <v>0.15786861814158762</v>
      </c>
      <c r="S227" s="14">
        <f t="shared" si="9"/>
        <v>3.5328548345046982</v>
      </c>
      <c r="T227" s="17">
        <f t="shared" si="10"/>
        <v>5.4701476186060107</v>
      </c>
      <c r="U227" s="12">
        <f t="shared" si="11"/>
        <v>4.5015012265553542</v>
      </c>
    </row>
    <row r="228" spans="1:21" x14ac:dyDescent="0.2">
      <c r="A228" t="s">
        <v>11</v>
      </c>
      <c r="B228" t="s">
        <v>8</v>
      </c>
      <c r="C228" t="s">
        <v>9</v>
      </c>
      <c r="D228" t="s">
        <v>10</v>
      </c>
      <c r="E228">
        <v>4</v>
      </c>
      <c r="F228">
        <v>29.93</v>
      </c>
      <c r="G228">
        <v>5.07</v>
      </c>
      <c r="H228" s="5">
        <f>G228/F228</f>
        <v>0.1693952555963916</v>
      </c>
      <c r="J228" s="16">
        <f>IF(A228="Male",0, 1)</f>
        <v>0</v>
      </c>
      <c r="K228" s="13">
        <f>IF(B228="No",0, 1)</f>
        <v>0</v>
      </c>
      <c r="L228" s="13">
        <f>IF(C228="Mon",1,IF(C228="Tues",2,IF(C228="Wed",3,IF(C228="Thur",4,IF(C228="Fri",5,IF(C228="Sat",6,7))))))</f>
        <v>7</v>
      </c>
      <c r="M228" s="13">
        <f>IF(D228="Lunch",0,1)</f>
        <v>1</v>
      </c>
      <c r="N228" s="13">
        <v>4</v>
      </c>
      <c r="O228" s="13">
        <v>34.81</v>
      </c>
      <c r="P228" s="13">
        <v>5.2</v>
      </c>
      <c r="Q228" s="15">
        <f>P228/O228</f>
        <v>0.14938236139040506</v>
      </c>
      <c r="R228" s="15">
        <f>AVERAGE(IF(A228="Female",GETPIVOTDATA("tip %",$W$26,"sex","Female"),GETPIVOTDATA("tip %",$W$26,"sex","Male")),IF(K228=0,GETPIVOTDATA("tip %",$AA$26,"smoker","No"),GETPIVOTDATA("tip %",$AA$26,"smoker","Yes")),IF(C228=$W$33,GETPIVOTDATA("tip %",$W$32,"day","Thur"),IF(C228=$W$34,GETPIVOTDATA("tip %",$W$32,"day","Fri"),IF(C228=$W$35,GETPIVOTDATA("tip %",$W$32,"day","Sat"),IF(C228=$W$36,GETPIVOTDATA("tip %",$W$32,"day","Sun"),GETPIVOTDATA("tip %",$W$32))))),IF(D228=$AE$27,GETPIVOTDATA("tip %",$AE$26,"time","Dinner"),GETPIVOTDATA("tip %",$AE$26,"time","Lunch")),IF(N228=$AA$33,GETPIVOTDATA("Average of tip %",$AA$32,"size",1),IF(N228=$AA$34,GETPIVOTDATA("Average of tip %",$AA$32,"size",2),IF(N228=$AA$35,GETPIVOTDATA("Average of tip %",$AA$32,"size",3),IF(N228=$AA$36,GETPIVOTDATA("Average of tip %",$AA$32,"size",4),IF(N228=$AA$37,GETPIVOTDATA("Average of tip %",$AA$32,"size",5),GETPIVOTDATA("Average of tip %",$AA$32,"size",6)))))))</f>
        <v>0.15786861814158762</v>
      </c>
      <c r="S228" s="14">
        <f t="shared" si="9"/>
        <v>3.3149359155857794</v>
      </c>
      <c r="T228" s="17">
        <f t="shared" si="10"/>
        <v>5.4954065975086657</v>
      </c>
      <c r="U228" s="12">
        <f t="shared" si="11"/>
        <v>4.4051712565472227</v>
      </c>
    </row>
    <row r="229" spans="1:21" x14ac:dyDescent="0.2">
      <c r="A229" t="s">
        <v>7</v>
      </c>
      <c r="B229" t="s">
        <v>8</v>
      </c>
      <c r="C229" t="s">
        <v>9</v>
      </c>
      <c r="D229" t="s">
        <v>10</v>
      </c>
      <c r="E229">
        <v>5</v>
      </c>
      <c r="F229">
        <v>29.85</v>
      </c>
      <c r="G229">
        <v>5.14</v>
      </c>
      <c r="H229" s="5">
        <f>G229/F229</f>
        <v>0.17219430485762141</v>
      </c>
      <c r="J229" s="16">
        <f>IF(A229="Male",0, 1)</f>
        <v>1</v>
      </c>
      <c r="K229" s="13">
        <f>IF(B229="No",0, 1)</f>
        <v>0</v>
      </c>
      <c r="L229" s="13">
        <f>IF(C229="Mon",1,IF(C229="Tues",2,IF(C229="Wed",3,IF(C229="Thur",4,IF(C229="Fri",5,IF(C229="Sat",6,7))))))</f>
        <v>7</v>
      </c>
      <c r="M229" s="13">
        <f>IF(D229="Lunch",0,1)</f>
        <v>1</v>
      </c>
      <c r="N229" s="13">
        <v>4</v>
      </c>
      <c r="O229" s="13">
        <v>34.83</v>
      </c>
      <c r="P229" s="13">
        <v>5.17</v>
      </c>
      <c r="Q229" s="15">
        <f>P229/O229</f>
        <v>0.14843525696238874</v>
      </c>
      <c r="R229" s="15">
        <f>AVERAGE(IF(A229="Female",GETPIVOTDATA("tip %",$W$26,"sex","Female"),GETPIVOTDATA("tip %",$W$26,"sex","Male")),IF(K229=0,GETPIVOTDATA("tip %",$AA$26,"smoker","No"),GETPIVOTDATA("tip %",$AA$26,"smoker","Yes")),IF(C229=$W$33,GETPIVOTDATA("tip %",$W$32,"day","Thur"),IF(C229=$W$34,GETPIVOTDATA("tip %",$W$32,"day","Fri"),IF(C229=$W$35,GETPIVOTDATA("tip %",$W$32,"day","Sat"),IF(C229=$W$36,GETPIVOTDATA("tip %",$W$32,"day","Sun"),GETPIVOTDATA("tip %",$W$32))))),IF(D229=$AE$27,GETPIVOTDATA("tip %",$AE$26,"time","Dinner"),GETPIVOTDATA("tip %",$AE$26,"time","Lunch")),IF(N229=$AA$33,GETPIVOTDATA("Average of tip %",$AA$32,"size",1),IF(N229=$AA$34,GETPIVOTDATA("Average of tip %",$AA$32,"size",2),IF(N229=$AA$35,GETPIVOTDATA("Average of tip %",$AA$32,"size",3),IF(N229=$AA$36,GETPIVOTDATA("Average of tip %",$AA$32,"size",4),IF(N229=$AA$37,GETPIVOTDATA("Average of tip %",$AA$32,"size",5),GETPIVOTDATA("Average of tip %",$AA$32,"size",6)))))))</f>
        <v>0.15963665600651306</v>
      </c>
      <c r="S229" s="14">
        <f t="shared" si="9"/>
        <v>3.2422209227981313</v>
      </c>
      <c r="T229" s="17">
        <f t="shared" si="10"/>
        <v>5.5601447287068497</v>
      </c>
      <c r="U229" s="12">
        <f t="shared" si="11"/>
        <v>4.4011828257524908</v>
      </c>
    </row>
    <row r="230" spans="1:21" x14ac:dyDescent="0.2">
      <c r="A230" t="s">
        <v>11</v>
      </c>
      <c r="B230" t="s">
        <v>22</v>
      </c>
      <c r="C230" t="s">
        <v>9</v>
      </c>
      <c r="D230" t="s">
        <v>10</v>
      </c>
      <c r="E230">
        <v>2</v>
      </c>
      <c r="F230">
        <v>7.25</v>
      </c>
      <c r="G230">
        <v>5.15</v>
      </c>
      <c r="H230" s="5">
        <f>G230/F230</f>
        <v>0.71034482758620698</v>
      </c>
      <c r="J230" s="16">
        <f>IF(A230="Male",0, 1)</f>
        <v>0</v>
      </c>
      <c r="K230" s="13">
        <f>IF(B230="No",0, 1)</f>
        <v>1</v>
      </c>
      <c r="L230" s="13">
        <f>IF(C230="Mon",1,IF(C230="Tues",2,IF(C230="Wed",3,IF(C230="Thur",4,IF(C230="Fri",5,IF(C230="Sat",6,7))))))</f>
        <v>7</v>
      </c>
      <c r="M230" s="13">
        <f>IF(D230="Lunch",0,1)</f>
        <v>1</v>
      </c>
      <c r="N230" s="13">
        <v>4</v>
      </c>
      <c r="O230" s="13">
        <v>35.26</v>
      </c>
      <c r="P230" s="13">
        <v>5</v>
      </c>
      <c r="Q230" s="15">
        <f>P230/O230</f>
        <v>0.14180374361883155</v>
      </c>
      <c r="R230" s="15">
        <f>AVERAGE(IF(A230="Female",GETPIVOTDATA("tip %",$W$26,"sex","Female"),GETPIVOTDATA("tip %",$W$26,"sex","Male")),IF(K230=0,GETPIVOTDATA("tip %",$AA$26,"smoker","No"),GETPIVOTDATA("tip %",$AA$26,"smoker","Yes")),IF(C230=$W$33,GETPIVOTDATA("tip %",$W$32,"day","Thur"),IF(C230=$W$34,GETPIVOTDATA("tip %",$W$32,"day","Fri"),IF(C230=$W$35,GETPIVOTDATA("tip %",$W$32,"day","Sat"),IF(C230=$W$36,GETPIVOTDATA("tip %",$W$32,"day","Sun"),GETPIVOTDATA("tip %",$W$32))))),IF(D230=$AE$27,GETPIVOTDATA("tip %",$AE$26,"time","Dinner"),GETPIVOTDATA("tip %",$AE$26,"time","Lunch")),IF(N230=$AA$33,GETPIVOTDATA("Average of tip %",$AA$32,"size",1),IF(N230=$AA$34,GETPIVOTDATA("Average of tip %",$AA$32,"size",2),IF(N230=$AA$35,GETPIVOTDATA("Average of tip %",$AA$32,"size",3),IF(N230=$AA$36,GETPIVOTDATA("Average of tip %",$AA$32,"size",4),IF(N230=$AA$37,GETPIVOTDATA("Average of tip %",$AA$32,"size",5),GETPIVOTDATA("Average of tip %",$AA$32,"size",6)))))))</f>
        <v>0.15864213463312013</v>
      </c>
      <c r="S230" s="14">
        <f t="shared" si="9"/>
        <v>3.0076874475229554</v>
      </c>
      <c r="T230" s="17">
        <f t="shared" si="10"/>
        <v>5.5937216671638152</v>
      </c>
      <c r="U230" s="12">
        <f t="shared" si="11"/>
        <v>4.3007045573433853</v>
      </c>
    </row>
    <row r="231" spans="1:21" x14ac:dyDescent="0.2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25.89</v>
      </c>
      <c r="G231">
        <v>5.16</v>
      </c>
      <c r="H231" s="5">
        <f>G231/F231</f>
        <v>0.19930475086906141</v>
      </c>
      <c r="J231" s="16">
        <f>IF(A231="Male",0, 1)</f>
        <v>0</v>
      </c>
      <c r="K231" s="13">
        <f>IF(B231="No",0, 1)</f>
        <v>1</v>
      </c>
      <c r="L231" s="13">
        <f>IF(C231="Mon",1,IF(C231="Tues",2,IF(C231="Wed",3,IF(C231="Thur",4,IF(C231="Fri",5,IF(C231="Sat",6,7))))))</f>
        <v>6</v>
      </c>
      <c r="M231" s="13">
        <f>IF(D231="Lunch",0,1)</f>
        <v>1</v>
      </c>
      <c r="N231" s="13">
        <v>3</v>
      </c>
      <c r="O231" s="13">
        <v>35.83</v>
      </c>
      <c r="P231" s="13">
        <v>4.67</v>
      </c>
      <c r="Q231" s="15">
        <f>P231/O231</f>
        <v>0.13033770583310075</v>
      </c>
      <c r="R231" s="15">
        <f>AVERAGE(IF(A231="Female",GETPIVOTDATA("tip %",$W$26,"sex","Female"),GETPIVOTDATA("tip %",$W$26,"sex","Male")),IF(K231=0,GETPIVOTDATA("tip %",$AA$26,"smoker","No"),GETPIVOTDATA("tip %",$AA$26,"smoker","Yes")),IF(C231=$W$33,GETPIVOTDATA("tip %",$W$32,"day","Thur"),IF(C231=$W$34,GETPIVOTDATA("tip %",$W$32,"day","Fri"),IF(C231=$W$35,GETPIVOTDATA("tip %",$W$32,"day","Sat"),IF(C231=$W$36,GETPIVOTDATA("tip %",$W$32,"day","Sun"),GETPIVOTDATA("tip %",$W$32))))),IF(D231=$AE$27,GETPIVOTDATA("tip %",$AE$26,"time","Dinner"),GETPIVOTDATA("tip %",$AE$26,"time","Lunch")),IF(N231=$AA$33,GETPIVOTDATA("Average of tip %",$AA$32,"size",1),IF(N231=$AA$34,GETPIVOTDATA("Average of tip %",$AA$32,"size",2),IF(N231=$AA$35,GETPIVOTDATA("Average of tip %",$AA$32,"size",3),IF(N231=$AA$36,GETPIVOTDATA("Average of tip %",$AA$32,"size",4),IF(N231=$AA$37,GETPIVOTDATA("Average of tip %",$AA$32,"size",5),GETPIVOTDATA("Average of tip %",$AA$32,"size",6)))))))</f>
        <v>0.15713459030916987</v>
      </c>
      <c r="S231" s="14">
        <f t="shared" si="9"/>
        <v>3.2659013640081964</v>
      </c>
      <c r="T231" s="17">
        <f t="shared" si="10"/>
        <v>5.6301323707775559</v>
      </c>
      <c r="U231" s="12">
        <f t="shared" si="11"/>
        <v>4.4480168673928766</v>
      </c>
    </row>
    <row r="232" spans="1:21" x14ac:dyDescent="0.2">
      <c r="A232" t="s">
        <v>7</v>
      </c>
      <c r="B232" t="s">
        <v>8</v>
      </c>
      <c r="C232" t="s">
        <v>23</v>
      </c>
      <c r="D232" t="s">
        <v>24</v>
      </c>
      <c r="E232">
        <v>4</v>
      </c>
      <c r="F232">
        <v>34.83</v>
      </c>
      <c r="G232">
        <v>5.17</v>
      </c>
      <c r="H232" s="5">
        <f>G232/F232</f>
        <v>0.14843525696238874</v>
      </c>
      <c r="J232" s="16">
        <f>IF(A232="Male",0, 1)</f>
        <v>1</v>
      </c>
      <c r="K232" s="13">
        <f>IF(B232="No",0, 1)</f>
        <v>0</v>
      </c>
      <c r="L232" s="13">
        <f>IF(C232="Mon",1,IF(C232="Tues",2,IF(C232="Wed",3,IF(C232="Thur",4,IF(C232="Fri",5,IF(C232="Sat",6,7))))))</f>
        <v>4</v>
      </c>
      <c r="M232" s="13">
        <f>IF(D232="Lunch",0,1)</f>
        <v>0</v>
      </c>
      <c r="N232" s="13">
        <v>4</v>
      </c>
      <c r="O232" s="13">
        <v>38.01</v>
      </c>
      <c r="P232" s="13">
        <v>3</v>
      </c>
      <c r="Q232" s="15">
        <f>P232/O232</f>
        <v>7.8926598263614839E-2</v>
      </c>
      <c r="R232" s="15">
        <f>AVERAGE(IF(A232="Female",GETPIVOTDATA("tip %",$W$26,"sex","Female"),GETPIVOTDATA("tip %",$W$26,"sex","Male")),IF(K232=0,GETPIVOTDATA("tip %",$AA$26,"smoker","No"),GETPIVOTDATA("tip %",$AA$26,"smoker","Yes")),IF(C232=$W$33,GETPIVOTDATA("tip %",$W$32,"day","Thur"),IF(C232=$W$34,GETPIVOTDATA("tip %",$W$32,"day","Fri"),IF(C232=$W$35,GETPIVOTDATA("tip %",$W$32,"day","Sat"),IF(C232=$W$36,GETPIVOTDATA("tip %",$W$32,"day","Sun"),GETPIVOTDATA("tip %",$W$32))))),IF(D232=$AE$27,GETPIVOTDATA("tip %",$AE$26,"time","Dinner"),GETPIVOTDATA("tip %",$AE$26,"time","Lunch")),IF(N232=$AA$33,GETPIVOTDATA("Average of tip %",$AA$32,"size",1),IF(N232=$AA$34,GETPIVOTDATA("Average of tip %",$AA$32,"size",2),IF(N232=$AA$35,GETPIVOTDATA("Average of tip %",$AA$32,"size",3),IF(N232=$AA$36,GETPIVOTDATA("Average of tip %",$AA$32,"size",4),IF(N232=$AA$37,GETPIVOTDATA("Average of tip %",$AA$32,"size",5),GETPIVOTDATA("Average of tip %",$AA$32,"size",6)))))))</f>
        <v>0.15943435340616108</v>
      </c>
      <c r="S232" s="14">
        <f t="shared" si="9"/>
        <v>3.0920495668201156</v>
      </c>
      <c r="T232" s="17">
        <f t="shared" si="10"/>
        <v>6.060099772968182</v>
      </c>
      <c r="U232" s="12">
        <f t="shared" si="11"/>
        <v>4.5760746698941492</v>
      </c>
    </row>
    <row r="233" spans="1:21" x14ac:dyDescent="0.2">
      <c r="A233" t="s">
        <v>7</v>
      </c>
      <c r="B233" t="s">
        <v>8</v>
      </c>
      <c r="C233" t="s">
        <v>9</v>
      </c>
      <c r="D233" t="s">
        <v>10</v>
      </c>
      <c r="E233">
        <v>4</v>
      </c>
      <c r="F233">
        <v>34.81</v>
      </c>
      <c r="G233">
        <v>5.2</v>
      </c>
      <c r="H233" s="5">
        <f>G233/F233</f>
        <v>0.14938236139040506</v>
      </c>
      <c r="J233" s="16">
        <f>IF(A233="Male",0, 1)</f>
        <v>1</v>
      </c>
      <c r="K233" s="13">
        <f>IF(B233="No",0, 1)</f>
        <v>0</v>
      </c>
      <c r="L233" s="13">
        <f>IF(C233="Mon",1,IF(C233="Tues",2,IF(C233="Wed",3,IF(C233="Thur",4,IF(C233="Fri",5,IF(C233="Sat",6,7))))))</f>
        <v>7</v>
      </c>
      <c r="M233" s="13">
        <f>IF(D233="Lunch",0,1)</f>
        <v>1</v>
      </c>
      <c r="N233" s="13">
        <v>3</v>
      </c>
      <c r="O233" s="13">
        <v>38.07</v>
      </c>
      <c r="P233" s="13">
        <v>4</v>
      </c>
      <c r="Q233" s="15">
        <f>P233/O233</f>
        <v>0.10506960861570791</v>
      </c>
      <c r="R233" s="15">
        <f>AVERAGE(IF(A233="Female",GETPIVOTDATA("tip %",$W$26,"sex","Female"),GETPIVOTDATA("tip %",$W$26,"sex","Male")),IF(K233=0,GETPIVOTDATA("tip %",$AA$26,"smoker","No"),GETPIVOTDATA("tip %",$AA$26,"smoker","Yes")),IF(C233=$W$33,GETPIVOTDATA("tip %",$W$32,"day","Thur"),IF(C233=$W$34,GETPIVOTDATA("tip %",$W$32,"day","Fri"),IF(C233=$W$35,GETPIVOTDATA("tip %",$W$32,"day","Sat"),IF(C233=$W$36,GETPIVOTDATA("tip %",$W$32,"day","Sun"),GETPIVOTDATA("tip %",$W$32))))),IF(D233=$AE$27,GETPIVOTDATA("tip %",$AE$26,"time","Dinner"),GETPIVOTDATA("tip %",$AE$26,"time","Lunch")),IF(N233=$AA$33,GETPIVOTDATA("Average of tip %",$AA$32,"size",1),IF(N233=$AA$34,GETPIVOTDATA("Average of tip %",$AA$32,"size",2),IF(N233=$AA$35,GETPIVOTDATA("Average of tip %",$AA$32,"size",3),IF(N233=$AA$36,GETPIVOTDATA("Average of tip %",$AA$32,"size",4),IF(N233=$AA$37,GETPIVOTDATA("Average of tip %",$AA$32,"size",5),GETPIVOTDATA("Average of tip %",$AA$32,"size",6)))))))</f>
        <v>0.16087822567523408</v>
      </c>
      <c r="S233" s="14">
        <f t="shared" si="9"/>
        <v>3.2637020038792115</v>
      </c>
      <c r="T233" s="17">
        <f t="shared" si="10"/>
        <v>6.1246340514561615</v>
      </c>
      <c r="U233" s="12">
        <f t="shared" si="11"/>
        <v>4.6941680276676863</v>
      </c>
    </row>
    <row r="234" spans="1:21" x14ac:dyDescent="0.2">
      <c r="A234" t="s">
        <v>11</v>
      </c>
      <c r="B234" t="s">
        <v>8</v>
      </c>
      <c r="C234" t="s">
        <v>9</v>
      </c>
      <c r="D234" t="s">
        <v>10</v>
      </c>
      <c r="E234">
        <v>4</v>
      </c>
      <c r="F234">
        <v>30.4</v>
      </c>
      <c r="G234">
        <v>5.6</v>
      </c>
      <c r="H234" s="5">
        <f>G234/F234</f>
        <v>0.18421052631578946</v>
      </c>
      <c r="J234" s="16">
        <f>IF(A234="Male",0, 1)</f>
        <v>0</v>
      </c>
      <c r="K234" s="13">
        <f>IF(B234="No",0, 1)</f>
        <v>0</v>
      </c>
      <c r="L234" s="13">
        <f>IF(C234="Mon",1,IF(C234="Tues",2,IF(C234="Wed",3,IF(C234="Thur",4,IF(C234="Fri",5,IF(C234="Sat",6,7))))))</f>
        <v>7</v>
      </c>
      <c r="M234" s="13">
        <f>IF(D234="Lunch",0,1)</f>
        <v>1</v>
      </c>
      <c r="N234" s="13">
        <v>4</v>
      </c>
      <c r="O234" s="13">
        <v>38.729999999999997</v>
      </c>
      <c r="P234" s="13">
        <v>3</v>
      </c>
      <c r="Q234" s="15">
        <f>P234/O234</f>
        <v>7.7459333849728904E-2</v>
      </c>
      <c r="R234" s="15">
        <f>AVERAGE(IF(A234="Female",GETPIVOTDATA("tip %",$W$26,"sex","Female"),GETPIVOTDATA("tip %",$W$26,"sex","Male")),IF(K234=0,GETPIVOTDATA("tip %",$AA$26,"smoker","No"),GETPIVOTDATA("tip %",$AA$26,"smoker","Yes")),IF(C234=$W$33,GETPIVOTDATA("tip %",$W$32,"day","Thur"),IF(C234=$W$34,GETPIVOTDATA("tip %",$W$32,"day","Fri"),IF(C234=$W$35,GETPIVOTDATA("tip %",$W$32,"day","Sat"),IF(C234=$W$36,GETPIVOTDATA("tip %",$W$32,"day","Sun"),GETPIVOTDATA("tip %",$W$32))))),IF(D234=$AE$27,GETPIVOTDATA("tip %",$AE$26,"time","Dinner"),GETPIVOTDATA("tip %",$AE$26,"time","Lunch")),IF(N234=$AA$33,GETPIVOTDATA("Average of tip %",$AA$32,"size",1),IF(N234=$AA$34,GETPIVOTDATA("Average of tip %",$AA$32,"size",2),IF(N234=$AA$35,GETPIVOTDATA("Average of tip %",$AA$32,"size",3),IF(N234=$AA$36,GETPIVOTDATA("Average of tip %",$AA$32,"size",4),IF(N234=$AA$37,GETPIVOTDATA("Average of tip %",$AA$32,"size",5),GETPIVOTDATA("Average of tip %",$AA$32,"size",6)))))))</f>
        <v>0.15786861814158762</v>
      </c>
      <c r="S234" s="14">
        <f t="shared" si="9"/>
        <v>3.3149359155857794</v>
      </c>
      <c r="T234" s="17">
        <f t="shared" si="10"/>
        <v>6.1142515806236881</v>
      </c>
      <c r="U234" s="12">
        <f t="shared" si="11"/>
        <v>4.7145937481047335</v>
      </c>
    </row>
    <row r="235" spans="1:21" x14ac:dyDescent="0.2">
      <c r="A235" t="s">
        <v>11</v>
      </c>
      <c r="B235" t="s">
        <v>22</v>
      </c>
      <c r="C235" t="s">
        <v>9</v>
      </c>
      <c r="D235" t="s">
        <v>10</v>
      </c>
      <c r="E235">
        <v>2</v>
      </c>
      <c r="F235">
        <v>23.33</v>
      </c>
      <c r="G235">
        <v>5.65</v>
      </c>
      <c r="H235" s="5">
        <f>G235/F235</f>
        <v>0.24217745392198889</v>
      </c>
      <c r="J235" s="16">
        <f>IF(A235="Male",0, 1)</f>
        <v>0</v>
      </c>
      <c r="K235" s="13">
        <f>IF(B235="No",0, 1)</f>
        <v>1</v>
      </c>
      <c r="L235" s="13">
        <f>IF(C235="Mon",1,IF(C235="Tues",2,IF(C235="Wed",3,IF(C235="Thur",4,IF(C235="Fri",5,IF(C235="Sat",6,7))))))</f>
        <v>7</v>
      </c>
      <c r="M235" s="13">
        <f>IF(D235="Lunch",0,1)</f>
        <v>1</v>
      </c>
      <c r="N235" s="13">
        <v>4</v>
      </c>
      <c r="O235" s="13">
        <v>39.42</v>
      </c>
      <c r="P235" s="13">
        <v>7.58</v>
      </c>
      <c r="Q235" s="15">
        <f>P235/O235</f>
        <v>0.19228817858954844</v>
      </c>
      <c r="R235" s="15">
        <f>AVERAGE(IF(A235="Female",GETPIVOTDATA("tip %",$W$26,"sex","Female"),GETPIVOTDATA("tip %",$W$26,"sex","Male")),IF(K235=0,GETPIVOTDATA("tip %",$AA$26,"smoker","No"),GETPIVOTDATA("tip %",$AA$26,"smoker","Yes")),IF(C235=$W$33,GETPIVOTDATA("tip %",$W$32,"day","Thur"),IF(C235=$W$34,GETPIVOTDATA("tip %",$W$32,"day","Fri"),IF(C235=$W$35,GETPIVOTDATA("tip %",$W$32,"day","Sat"),IF(C235=$W$36,GETPIVOTDATA("tip %",$W$32,"day","Sun"),GETPIVOTDATA("tip %",$W$32))))),IF(D235=$AE$27,GETPIVOTDATA("tip %",$AE$26,"time","Dinner"),GETPIVOTDATA("tip %",$AE$26,"time","Lunch")),IF(N235=$AA$33,GETPIVOTDATA("Average of tip %",$AA$32,"size",1),IF(N235=$AA$34,GETPIVOTDATA("Average of tip %",$AA$32,"size",2),IF(N235=$AA$35,GETPIVOTDATA("Average of tip %",$AA$32,"size",3),IF(N235=$AA$36,GETPIVOTDATA("Average of tip %",$AA$32,"size",4),IF(N235=$AA$37,GETPIVOTDATA("Average of tip %",$AA$32,"size",5),GETPIVOTDATA("Average of tip %",$AA$32,"size",6)))))))</f>
        <v>0.15864213463312013</v>
      </c>
      <c r="S235" s="14">
        <f t="shared" si="9"/>
        <v>3.0076874475229554</v>
      </c>
      <c r="T235" s="17">
        <f t="shared" si="10"/>
        <v>6.2536729472375958</v>
      </c>
      <c r="U235" s="12">
        <f t="shared" si="11"/>
        <v>4.6306801973802756</v>
      </c>
    </row>
    <row r="236" spans="1:21" x14ac:dyDescent="0.2">
      <c r="A236" t="s">
        <v>11</v>
      </c>
      <c r="B236" t="s">
        <v>8</v>
      </c>
      <c r="C236" t="s">
        <v>23</v>
      </c>
      <c r="D236" t="s">
        <v>24</v>
      </c>
      <c r="E236">
        <v>2</v>
      </c>
      <c r="F236">
        <v>24.71</v>
      </c>
      <c r="G236">
        <v>5.85</v>
      </c>
      <c r="H236" s="5">
        <f>G236/F236</f>
        <v>0.23674625657628487</v>
      </c>
      <c r="J236" s="16">
        <f>IF(A236="Male",0, 1)</f>
        <v>0</v>
      </c>
      <c r="K236" s="13">
        <f>IF(B236="No",0, 1)</f>
        <v>0</v>
      </c>
      <c r="L236" s="13">
        <f>IF(C236="Mon",1,IF(C236="Tues",2,IF(C236="Wed",3,IF(C236="Thur",4,IF(C236="Fri",5,IF(C236="Sat",6,7))))))</f>
        <v>4</v>
      </c>
      <c r="M236" s="13">
        <f>IF(D236="Lunch",0,1)</f>
        <v>0</v>
      </c>
      <c r="N236" s="13">
        <v>4</v>
      </c>
      <c r="O236" s="13">
        <v>40.17</v>
      </c>
      <c r="P236" s="13">
        <v>4.7300000000000004</v>
      </c>
      <c r="Q236" s="15">
        <f>P236/O236</f>
        <v>0.1177495643515061</v>
      </c>
      <c r="R236" s="15">
        <f>AVERAGE(IF(A236="Female",GETPIVOTDATA("tip %",$W$26,"sex","Female"),GETPIVOTDATA("tip %",$W$26,"sex","Male")),IF(K236=0,GETPIVOTDATA("tip %",$AA$26,"smoker","No"),GETPIVOTDATA("tip %",$AA$26,"smoker","Yes")),IF(C236=$W$33,GETPIVOTDATA("tip %",$W$32,"day","Thur"),IF(C236=$W$34,GETPIVOTDATA("tip %",$W$32,"day","Fri"),IF(C236=$W$35,GETPIVOTDATA("tip %",$W$32,"day","Sat"),IF(C236=$W$36,GETPIVOTDATA("tip %",$W$32,"day","Sun"),GETPIVOTDATA("tip %",$W$32))))),IF(D236=$AE$27,GETPIVOTDATA("tip %",$AE$26,"time","Dinner"),GETPIVOTDATA("tip %",$AE$26,"time","Lunch")),IF(N236=$AA$33,GETPIVOTDATA("Average of tip %",$AA$32,"size",1),IF(N236=$AA$34,GETPIVOTDATA("Average of tip %",$AA$32,"size",2),IF(N236=$AA$35,GETPIVOTDATA("Average of tip %",$AA$32,"size",3),IF(N236=$AA$36,GETPIVOTDATA("Average of tip %",$AA$32,"size",4),IF(N236=$AA$37,GETPIVOTDATA("Average of tip %",$AA$32,"size",5),GETPIVOTDATA("Average of tip %",$AA$32,"size",6)))))))</f>
        <v>0.15766631554123561</v>
      </c>
      <c r="S236" s="14">
        <f t="shared" si="9"/>
        <v>2.8326639359071408</v>
      </c>
      <c r="T236" s="17">
        <f t="shared" si="10"/>
        <v>6.3334558952914346</v>
      </c>
      <c r="U236" s="12">
        <f t="shared" si="11"/>
        <v>4.5830599155992875</v>
      </c>
    </row>
    <row r="237" spans="1:21" x14ac:dyDescent="0.2">
      <c r="A237" t="s">
        <v>11</v>
      </c>
      <c r="B237" t="s">
        <v>8</v>
      </c>
      <c r="C237" t="s">
        <v>21</v>
      </c>
      <c r="D237" t="s">
        <v>10</v>
      </c>
      <c r="E237">
        <v>3</v>
      </c>
      <c r="F237">
        <v>29.03</v>
      </c>
      <c r="G237">
        <v>5.92</v>
      </c>
      <c r="H237" s="5">
        <f>G237/F237</f>
        <v>0.20392697209782981</v>
      </c>
      <c r="J237" s="16">
        <f>IF(A237="Male",0, 1)</f>
        <v>0</v>
      </c>
      <c r="K237" s="13">
        <f>IF(B237="No",0, 1)</f>
        <v>0</v>
      </c>
      <c r="L237" s="13">
        <f>IF(C237="Mon",1,IF(C237="Tues",2,IF(C237="Wed",3,IF(C237="Thur",4,IF(C237="Fri",5,IF(C237="Sat",6,7))))))</f>
        <v>6</v>
      </c>
      <c r="M237" s="13">
        <f>IF(D237="Lunch",0,1)</f>
        <v>1</v>
      </c>
      <c r="N237" s="13">
        <v>2</v>
      </c>
      <c r="O237" s="13">
        <v>40.549999999999997</v>
      </c>
      <c r="P237" s="13">
        <v>3</v>
      </c>
      <c r="Q237" s="15">
        <f>P237/O237</f>
        <v>7.3982737361282372E-2</v>
      </c>
      <c r="R237" s="15">
        <f>AVERAGE(IF(A237="Female",GETPIVOTDATA("tip %",$W$26,"sex","Female"),GETPIVOTDATA("tip %",$W$26,"sex","Male")),IF(K237=0,GETPIVOTDATA("tip %",$AA$26,"smoker","No"),GETPIVOTDATA("tip %",$AA$26,"smoker","Yes")),IF(C237=$W$33,GETPIVOTDATA("tip %",$W$32,"day","Thur"),IF(C237=$W$34,GETPIVOTDATA("tip %",$W$32,"day","Fri"),IF(C237=$W$35,GETPIVOTDATA("tip %",$W$32,"day","Sat"),IF(C237=$W$36,GETPIVOTDATA("tip %",$W$32,"day","Sun"),GETPIVOTDATA("tip %",$W$32))))),IF(D237=$AE$27,GETPIVOTDATA("tip %",$AE$26,"time","Dinner"),GETPIVOTDATA("tip %",$AE$26,"time","Lunch")),IF(N237=$AA$33,GETPIVOTDATA("Average of tip %",$AA$32,"size",1),IF(N237=$AA$34,GETPIVOTDATA("Average of tip %",$AA$32,"size",2),IF(N237=$AA$35,GETPIVOTDATA("Average of tip %",$AA$32,"size",3),IF(N237=$AA$36,GETPIVOTDATA("Average of tip %",$AA$32,"size",4),IF(N237=$AA$37,GETPIVOTDATA("Average of tip %",$AA$32,"size",5),GETPIVOTDATA("Average of tip %",$AA$32,"size",6)))))))</f>
        <v>0.15907354121717945</v>
      </c>
      <c r="S237" s="14">
        <f t="shared" si="9"/>
        <v>3.1140807873177652</v>
      </c>
      <c r="T237" s="17">
        <f t="shared" si="10"/>
        <v>6.4504320963566268</v>
      </c>
      <c r="U237" s="12">
        <f t="shared" si="11"/>
        <v>4.7822564418371964</v>
      </c>
    </row>
    <row r="238" spans="1:21" x14ac:dyDescent="0.2">
      <c r="A238" t="s">
        <v>11</v>
      </c>
      <c r="B238" t="s">
        <v>8</v>
      </c>
      <c r="C238" t="s">
        <v>9</v>
      </c>
      <c r="D238" t="s">
        <v>10</v>
      </c>
      <c r="E238">
        <v>4</v>
      </c>
      <c r="F238">
        <v>32.4</v>
      </c>
      <c r="G238">
        <v>6</v>
      </c>
      <c r="H238" s="5">
        <f>G238/F238</f>
        <v>0.1851851851851852</v>
      </c>
      <c r="J238" s="16">
        <f>IF(A238="Male",0, 1)</f>
        <v>0</v>
      </c>
      <c r="K238" s="13">
        <f>IF(B238="No",0, 1)</f>
        <v>0</v>
      </c>
      <c r="L238" s="13">
        <f>IF(C238="Mon",1,IF(C238="Tues",2,IF(C238="Wed",3,IF(C238="Thur",4,IF(C238="Fri",5,IF(C238="Sat",6,7))))))</f>
        <v>7</v>
      </c>
      <c r="M238" s="13">
        <f>IF(D238="Lunch",0,1)</f>
        <v>1</v>
      </c>
      <c r="N238" s="13">
        <v>5</v>
      </c>
      <c r="O238" s="13">
        <v>41.19</v>
      </c>
      <c r="P238" s="13">
        <v>5</v>
      </c>
      <c r="Q238" s="15">
        <f>P238/O238</f>
        <v>0.12138868657441128</v>
      </c>
      <c r="R238" s="15">
        <f>AVERAGE(IF(A238="Female",GETPIVOTDATA("tip %",$W$26,"sex","Female"),GETPIVOTDATA("tip %",$W$26,"sex","Male")),IF(K238=0,GETPIVOTDATA("tip %",$AA$26,"smoker","No"),GETPIVOTDATA("tip %",$AA$26,"smoker","Yes")),IF(C238=$W$33,GETPIVOTDATA("tip %",$W$32,"day","Thur"),IF(C238=$W$34,GETPIVOTDATA("tip %",$W$32,"day","Fri"),IF(C238=$W$35,GETPIVOTDATA("tip %",$W$32,"day","Sat"),IF(C238=$W$36,GETPIVOTDATA("tip %",$W$32,"day","Sun"),GETPIVOTDATA("tip %",$W$32))))),IF(D238=$AE$27,GETPIVOTDATA("tip %",$AE$26,"time","Dinner"),GETPIVOTDATA("tip %",$AE$26,"time","Lunch")),IF(N238=$AA$33,GETPIVOTDATA("Average of tip %",$AA$32,"size",1),IF(N238=$AA$34,GETPIVOTDATA("Average of tip %",$AA$32,"size",2),IF(N238=$AA$35,GETPIVOTDATA("Average of tip %",$AA$32,"size",3),IF(N238=$AA$36,GETPIVOTDATA("Average of tip %",$AA$32,"size",4),IF(N238=$AA$37,GETPIVOTDATA("Average of tip %",$AA$32,"size",5),GETPIVOTDATA("Average of tip %",$AA$32,"size",6)))))))</f>
        <v>0.156977914793169</v>
      </c>
      <c r="S238" s="14">
        <f t="shared" si="9"/>
        <v>3.3149359155857794</v>
      </c>
      <c r="T238" s="17">
        <f t="shared" si="10"/>
        <v>6.4659203103306311</v>
      </c>
      <c r="U238" s="12">
        <f t="shared" si="11"/>
        <v>4.8904281129582055</v>
      </c>
    </row>
    <row r="239" spans="1:21" x14ac:dyDescent="0.2">
      <c r="A239" t="s">
        <v>7</v>
      </c>
      <c r="B239" t="s">
        <v>22</v>
      </c>
      <c r="C239" t="s">
        <v>21</v>
      </c>
      <c r="D239" t="s">
        <v>10</v>
      </c>
      <c r="E239">
        <v>3</v>
      </c>
      <c r="F239">
        <v>28.17</v>
      </c>
      <c r="G239">
        <v>6.5</v>
      </c>
      <c r="H239" s="5">
        <f>G239/F239</f>
        <v>0.23074192403265883</v>
      </c>
      <c r="J239" s="16">
        <f>IF(A239="Male",0, 1)</f>
        <v>1</v>
      </c>
      <c r="K239" s="13">
        <f>IF(B239="No",0, 1)</f>
        <v>1</v>
      </c>
      <c r="L239" s="13">
        <f>IF(C239="Mon",1,IF(C239="Tues",2,IF(C239="Wed",3,IF(C239="Thur",4,IF(C239="Fri",5,IF(C239="Sat",6,7))))))</f>
        <v>6</v>
      </c>
      <c r="M239" s="13">
        <f>IF(D239="Lunch",0,1)</f>
        <v>1</v>
      </c>
      <c r="N239" s="13">
        <v>4</v>
      </c>
      <c r="O239" s="13">
        <v>43.11</v>
      </c>
      <c r="P239" s="13">
        <v>5</v>
      </c>
      <c r="Q239" s="15">
        <f>P239/O239</f>
        <v>0.11598237067965669</v>
      </c>
      <c r="R239" s="15">
        <f>AVERAGE(IF(A239="Female",GETPIVOTDATA("tip %",$W$26,"sex","Female"),GETPIVOTDATA("tip %",$W$26,"sex","Male")),IF(K239=0,GETPIVOTDATA("tip %",$AA$26,"smoker","No"),GETPIVOTDATA("tip %",$AA$26,"smoker","Yes")),IF(C239=$W$33,GETPIVOTDATA("tip %",$W$32,"day","Thur"),IF(C239=$W$34,GETPIVOTDATA("tip %",$W$32,"day","Fri"),IF(C239=$W$35,GETPIVOTDATA("tip %",$W$32,"day","Sat"),IF(C239=$W$36,GETPIVOTDATA("tip %",$W$32,"day","Sun"),GETPIVOTDATA("tip %",$W$32))))),IF(D239=$AE$27,GETPIVOTDATA("tip %",$AE$26,"time","Dinner"),GETPIVOTDATA("tip %",$AE$26,"time","Lunch")),IF(N239=$AA$33,GETPIVOTDATA("Average of tip %",$AA$32,"size",1),IF(N239=$AA$34,GETPIVOTDATA("Average of tip %",$AA$32,"size",2),IF(N239=$AA$35,GETPIVOTDATA("Average of tip %",$AA$32,"size",3),IF(N239=$AA$36,GETPIVOTDATA("Average of tip %",$AA$32,"size",4),IF(N239=$AA$37,GETPIVOTDATA("Average of tip %",$AA$32,"size",5),GETPIVOTDATA("Average of tip %",$AA$32,"size",6)))))))</f>
        <v>0.15766105850537432</v>
      </c>
      <c r="S239" s="14">
        <f t="shared" si="9"/>
        <v>3.0662179501679163</v>
      </c>
      <c r="T239" s="17">
        <f t="shared" si="10"/>
        <v>6.7967682321666869</v>
      </c>
      <c r="U239" s="12">
        <f t="shared" si="11"/>
        <v>4.9314930911673018</v>
      </c>
    </row>
    <row r="240" spans="1:21" x14ac:dyDescent="0.2">
      <c r="A240" t="s">
        <v>11</v>
      </c>
      <c r="B240" t="s">
        <v>22</v>
      </c>
      <c r="C240" t="s">
        <v>9</v>
      </c>
      <c r="D240" t="s">
        <v>10</v>
      </c>
      <c r="E240">
        <v>4</v>
      </c>
      <c r="F240">
        <v>23.17</v>
      </c>
      <c r="G240">
        <v>6.5</v>
      </c>
      <c r="H240" s="5">
        <f>G240/F240</f>
        <v>0.28053517479499351</v>
      </c>
      <c r="J240" s="16">
        <f>IF(A240="Male",0, 1)</f>
        <v>0</v>
      </c>
      <c r="K240" s="13">
        <f>IF(B240="No",0, 1)</f>
        <v>1</v>
      </c>
      <c r="L240" s="13">
        <f>IF(C240="Mon",1,IF(C240="Tues",2,IF(C240="Wed",3,IF(C240="Thur",4,IF(C240="Fri",5,IF(C240="Sat",6,7))))))</f>
        <v>7</v>
      </c>
      <c r="M240" s="13">
        <f>IF(D240="Lunch",0,1)</f>
        <v>1</v>
      </c>
      <c r="N240" s="13">
        <v>3</v>
      </c>
      <c r="O240" s="13">
        <v>44.3</v>
      </c>
      <c r="P240" s="13">
        <v>2.5</v>
      </c>
      <c r="Q240" s="15">
        <f>P240/O240</f>
        <v>5.6433408577878111E-2</v>
      </c>
      <c r="R240" s="15">
        <f>AVERAGE(IF(A240="Female",GETPIVOTDATA("tip %",$W$26,"sex","Female"),GETPIVOTDATA("tip %",$W$26,"sex","Male")),IF(K240=0,GETPIVOTDATA("tip %",$AA$26,"smoker","No"),GETPIVOTDATA("tip %",$AA$26,"smoker","Yes")),IF(C240=$W$33,GETPIVOTDATA("tip %",$W$32,"day","Thur"),IF(C240=$W$34,GETPIVOTDATA("tip %",$W$32,"day","Fri"),IF(C240=$W$35,GETPIVOTDATA("tip %",$W$32,"day","Sat"),IF(C240=$W$36,GETPIVOTDATA("tip %",$W$32,"day","Sun"),GETPIVOTDATA("tip %",$W$32))))),IF(D240=$AE$27,GETPIVOTDATA("tip %",$AE$26,"time","Dinner"),GETPIVOTDATA("tip %",$AE$26,"time","Lunch")),IF(N240=$AA$33,GETPIVOTDATA("Average of tip %",$AA$32,"size",1),IF(N240=$AA$34,GETPIVOTDATA("Average of tip %",$AA$32,"size",2),IF(N240=$AA$35,GETPIVOTDATA("Average of tip %",$AA$32,"size",3),IF(N240=$AA$36,GETPIVOTDATA("Average of tip %",$AA$32,"size",4),IF(N240=$AA$37,GETPIVOTDATA("Average of tip %",$AA$32,"size",5),GETPIVOTDATA("Average of tip %",$AA$32,"size",6)))))))</f>
        <v>0.15988370430184115</v>
      </c>
      <c r="S240" s="14">
        <f t="shared" si="9"/>
        <v>3.318306990142498</v>
      </c>
      <c r="T240" s="17">
        <f t="shared" si="10"/>
        <v>7.0828481005715629</v>
      </c>
      <c r="U240" s="12">
        <f t="shared" si="11"/>
        <v>5.2005775453570307</v>
      </c>
    </row>
    <row r="241" spans="1:21" x14ac:dyDescent="0.2">
      <c r="A241" t="s">
        <v>11</v>
      </c>
      <c r="B241" t="s">
        <v>8</v>
      </c>
      <c r="C241" t="s">
        <v>23</v>
      </c>
      <c r="D241" t="s">
        <v>24</v>
      </c>
      <c r="E241">
        <v>6</v>
      </c>
      <c r="F241">
        <v>34.299999999999997</v>
      </c>
      <c r="G241">
        <v>6.7</v>
      </c>
      <c r="H241" s="5">
        <f>G241/F241</f>
        <v>0.19533527696793004</v>
      </c>
      <c r="J241" s="16">
        <f>IF(A241="Male",0, 1)</f>
        <v>0</v>
      </c>
      <c r="K241" s="13">
        <f>IF(B241="No",0, 1)</f>
        <v>0</v>
      </c>
      <c r="L241" s="13">
        <f>IF(C241="Mon",1,IF(C241="Tues",2,IF(C241="Wed",3,IF(C241="Thur",4,IF(C241="Fri",5,IF(C241="Sat",6,7))))))</f>
        <v>4</v>
      </c>
      <c r="M241" s="13">
        <f>IF(D241="Lunch",0,1)</f>
        <v>0</v>
      </c>
      <c r="N241" s="13">
        <v>3</v>
      </c>
      <c r="O241" s="13">
        <v>45.35</v>
      </c>
      <c r="P241" s="13">
        <v>3.5</v>
      </c>
      <c r="Q241" s="15">
        <f>P241/O241</f>
        <v>7.7177508269018744E-2</v>
      </c>
      <c r="R241" s="15">
        <f>AVERAGE(IF(A241="Female",GETPIVOTDATA("tip %",$W$26,"sex","Female"),GETPIVOTDATA("tip %",$W$26,"sex","Male")),IF(K241=0,GETPIVOTDATA("tip %",$AA$26,"smoker","No"),GETPIVOTDATA("tip %",$AA$26,"smoker","Yes")),IF(C241=$W$33,GETPIVOTDATA("tip %",$W$32,"day","Thur"),IF(C241=$W$34,GETPIVOTDATA("tip %",$W$32,"day","Fri"),IF(C241=$W$35,GETPIVOTDATA("tip %",$W$32,"day","Sat"),IF(C241=$W$36,GETPIVOTDATA("tip %",$W$32,"day","Sun"),GETPIVOTDATA("tip %",$W$32))))),IF(D241=$AE$27,GETPIVOTDATA("tip %",$AE$26,"time","Dinner"),GETPIVOTDATA("tip %",$AE$26,"time","Lunch")),IF(N241=$AA$33,GETPIVOTDATA("Average of tip %",$AA$32,"size",1),IF(N241=$AA$34,GETPIVOTDATA("Average of tip %",$AA$32,"size",2),IF(N241=$AA$35,GETPIVOTDATA("Average of tip %",$AA$32,"size",3),IF(N241=$AA$36,GETPIVOTDATA("Average of tip %",$AA$32,"size",4),IF(N241=$AA$37,GETPIVOTDATA("Average of tip %",$AA$32,"size",5),GETPIVOTDATA("Average of tip %",$AA$32,"size",6)))))))</f>
        <v>0.15890788520995663</v>
      </c>
      <c r="S241" s="14">
        <f t="shared" si="9"/>
        <v>3.3612023974456022</v>
      </c>
      <c r="T241" s="17">
        <f t="shared" si="10"/>
        <v>7.206472594271534</v>
      </c>
      <c r="U241" s="12">
        <f t="shared" si="11"/>
        <v>5.2838374958585685</v>
      </c>
    </row>
    <row r="242" spans="1:21" x14ac:dyDescent="0.2">
      <c r="A242" t="s">
        <v>11</v>
      </c>
      <c r="B242" t="s">
        <v>8</v>
      </c>
      <c r="C242" t="s">
        <v>21</v>
      </c>
      <c r="D242" t="s">
        <v>10</v>
      </c>
      <c r="E242">
        <v>4</v>
      </c>
      <c r="F242">
        <v>48.27</v>
      </c>
      <c r="G242">
        <v>6.73</v>
      </c>
      <c r="H242" s="5">
        <f>G242/F242</f>
        <v>0.13942407292314066</v>
      </c>
      <c r="J242" s="16">
        <f>IF(A242="Male",0, 1)</f>
        <v>0</v>
      </c>
      <c r="K242" s="13">
        <f>IF(B242="No",0, 1)</f>
        <v>0</v>
      </c>
      <c r="L242" s="13">
        <f>IF(C242="Mon",1,IF(C242="Tues",2,IF(C242="Wed",3,IF(C242="Thur",4,IF(C242="Fri",5,IF(C242="Sat",6,7))))))</f>
        <v>6</v>
      </c>
      <c r="M242" s="13">
        <f>IF(D242="Lunch",0,1)</f>
        <v>1</v>
      </c>
      <c r="N242" s="13">
        <v>6</v>
      </c>
      <c r="O242" s="13">
        <v>48.17</v>
      </c>
      <c r="P242" s="13">
        <v>5</v>
      </c>
      <c r="Q242" s="15">
        <f>P242/O242</f>
        <v>0.10379904504878555</v>
      </c>
      <c r="R242" s="15">
        <f>AVERAGE(IF(A242="Female",GETPIVOTDATA("tip %",$W$26,"sex","Female"),GETPIVOTDATA("tip %",$W$26,"sex","Male")),IF(K242=0,GETPIVOTDATA("tip %",$AA$26,"smoker","No"),GETPIVOTDATA("tip %",$AA$26,"smoker","Yes")),IF(C242=$W$33,GETPIVOTDATA("tip %",$W$32,"day","Thur"),IF(C242=$W$34,GETPIVOTDATA("tip %",$W$32,"day","Fri"),IF(C242=$W$35,GETPIVOTDATA("tip %",$W$32,"day","Sat"),IF(C242=$W$36,GETPIVOTDATA("tip %",$W$32,"day","Sun"),GETPIVOTDATA("tip %",$W$32))))),IF(D242=$AE$27,GETPIVOTDATA("tip %",$AE$26,"time","Dinner"),GETPIVOTDATA("tip %",$AE$26,"time","Lunch")),IF(N242=$AA$33,GETPIVOTDATA("Average of tip %",$AA$32,"size",1),IF(N242=$AA$34,GETPIVOTDATA("Average of tip %",$AA$32,"size",2),IF(N242=$AA$35,GETPIVOTDATA("Average of tip %",$AA$32,"size",3),IF(N242=$AA$36,GETPIVOTDATA("Average of tip %",$AA$32,"size",4),IF(N242=$AA$37,GETPIVOTDATA("Average of tip %",$AA$32,"size",5),GETPIVOTDATA("Average of tip %",$AA$32,"size",6)))))))</f>
        <v>0.15717554301427045</v>
      </c>
      <c r="S242" s="14">
        <f t="shared" si="9"/>
        <v>3.2625302894514783</v>
      </c>
      <c r="T242" s="17">
        <f t="shared" si="10"/>
        <v>7.5711459069974074</v>
      </c>
      <c r="U242" s="12">
        <f t="shared" si="11"/>
        <v>5.4168380982244431</v>
      </c>
    </row>
    <row r="243" spans="1:21" x14ac:dyDescent="0.2">
      <c r="A243" t="s">
        <v>11</v>
      </c>
      <c r="B243" t="s">
        <v>8</v>
      </c>
      <c r="C243" t="s">
        <v>21</v>
      </c>
      <c r="D243" t="s">
        <v>10</v>
      </c>
      <c r="E243">
        <v>4</v>
      </c>
      <c r="F243">
        <v>39.42</v>
      </c>
      <c r="G243">
        <v>7.58</v>
      </c>
      <c r="H243" s="5">
        <f>G243/F243</f>
        <v>0.19228817858954844</v>
      </c>
      <c r="J243" s="16">
        <f>IF(A243="Male",0, 1)</f>
        <v>0</v>
      </c>
      <c r="K243" s="13">
        <f>IF(B243="No",0, 1)</f>
        <v>0</v>
      </c>
      <c r="L243" s="13">
        <f>IF(C243="Mon",1,IF(C243="Tues",2,IF(C243="Wed",3,IF(C243="Thur",4,IF(C243="Fri",5,IF(C243="Sat",6,7))))))</f>
        <v>6</v>
      </c>
      <c r="M243" s="13">
        <f>IF(D243="Lunch",0,1)</f>
        <v>1</v>
      </c>
      <c r="N243" s="13">
        <v>4</v>
      </c>
      <c r="O243" s="13">
        <v>48.27</v>
      </c>
      <c r="P243" s="13">
        <v>6.73</v>
      </c>
      <c r="Q243" s="15">
        <f>P243/O243</f>
        <v>0.13942407292314066</v>
      </c>
      <c r="R243" s="15">
        <f>AVERAGE(IF(A243="Female",GETPIVOTDATA("tip %",$W$26,"sex","Female"),GETPIVOTDATA("tip %",$W$26,"sex","Male")),IF(K243=0,GETPIVOTDATA("tip %",$AA$26,"smoker","No"),GETPIVOTDATA("tip %",$AA$26,"smoker","Yes")),IF(C243=$W$33,GETPIVOTDATA("tip %",$W$32,"day","Thur"),IF(C243=$W$34,GETPIVOTDATA("tip %",$W$32,"day","Fri"),IF(C243=$W$35,GETPIVOTDATA("tip %",$W$32,"day","Sat"),IF(C243=$W$36,GETPIVOTDATA("tip %",$W$32,"day","Sun"),GETPIVOTDATA("tip %",$W$32))))),IF(D243=$AE$27,GETPIVOTDATA("tip %",$AE$26,"time","Dinner"),GETPIVOTDATA("tip %",$AE$26,"time","Lunch")),IF(N243=$AA$33,GETPIVOTDATA("Average of tip %",$AA$32,"size",1),IF(N243=$AA$34,GETPIVOTDATA("Average of tip %",$AA$32,"size",2),IF(N243=$AA$35,GETPIVOTDATA("Average of tip %",$AA$32,"size",3),IF(N243=$AA$36,GETPIVOTDATA("Average of tip %",$AA$32,"size",4),IF(N243=$AA$37,GETPIVOTDATA("Average of tip %",$AA$32,"size",5),GETPIVOTDATA("Average of tip %",$AA$32,"size",6)))))))</f>
        <v>0.15511950414891634</v>
      </c>
      <c r="S243" s="14">
        <f t="shared" si="9"/>
        <v>3.2625302894514783</v>
      </c>
      <c r="T243" s="17">
        <f t="shared" si="10"/>
        <v>7.4876184652681923</v>
      </c>
      <c r="U243" s="12">
        <f t="shared" si="11"/>
        <v>5.3750743773598355</v>
      </c>
    </row>
    <row r="244" spans="1:21" x14ac:dyDescent="0.2">
      <c r="A244" t="s">
        <v>11</v>
      </c>
      <c r="B244" t="s">
        <v>8</v>
      </c>
      <c r="C244" t="s">
        <v>21</v>
      </c>
      <c r="D244" t="s">
        <v>10</v>
      </c>
      <c r="E244">
        <v>4</v>
      </c>
      <c r="F244">
        <v>48.33</v>
      </c>
      <c r="G244">
        <v>9</v>
      </c>
      <c r="H244" s="5">
        <f>G244/F244</f>
        <v>0.18621973929236499</v>
      </c>
      <c r="J244" s="16">
        <f>IF(A244="Male",0, 1)</f>
        <v>0</v>
      </c>
      <c r="K244" s="13">
        <f>IF(B244="No",0, 1)</f>
        <v>0</v>
      </c>
      <c r="L244" s="13">
        <f>IF(C244="Mon",1,IF(C244="Tues",2,IF(C244="Wed",3,IF(C244="Thur",4,IF(C244="Fri",5,IF(C244="Sat",6,7))))))</f>
        <v>6</v>
      </c>
      <c r="M244" s="13">
        <f>IF(D244="Lunch",0,1)</f>
        <v>1</v>
      </c>
      <c r="N244" s="13">
        <v>4</v>
      </c>
      <c r="O244" s="13">
        <v>48.33</v>
      </c>
      <c r="P244" s="13">
        <v>9</v>
      </c>
      <c r="Q244" s="15">
        <f>P244/O244</f>
        <v>0.18621973929236499</v>
      </c>
      <c r="R244" s="15">
        <f>AVERAGE(IF(A244="Female",GETPIVOTDATA("tip %",$W$26,"sex","Female"),GETPIVOTDATA("tip %",$W$26,"sex","Male")),IF(K244=0,GETPIVOTDATA("tip %",$AA$26,"smoker","No"),GETPIVOTDATA("tip %",$AA$26,"smoker","Yes")),IF(C244=$W$33,GETPIVOTDATA("tip %",$W$32,"day","Thur"),IF(C244=$W$34,GETPIVOTDATA("tip %",$W$32,"day","Fri"),IF(C244=$W$35,GETPIVOTDATA("tip %",$W$32,"day","Sat"),IF(C244=$W$36,GETPIVOTDATA("tip %",$W$32,"day","Sun"),GETPIVOTDATA("tip %",$W$32))))),IF(D244=$AE$27,GETPIVOTDATA("tip %",$AE$26,"time","Dinner"),GETPIVOTDATA("tip %",$AE$26,"time","Lunch")),IF(N244=$AA$33,GETPIVOTDATA("Average of tip %",$AA$32,"size",1),IF(N244=$AA$34,GETPIVOTDATA("Average of tip %",$AA$32,"size",2),IF(N244=$AA$35,GETPIVOTDATA("Average of tip %",$AA$32,"size",3),IF(N244=$AA$36,GETPIVOTDATA("Average of tip %",$AA$32,"size",4),IF(N244=$AA$37,GETPIVOTDATA("Average of tip %",$AA$32,"size",5),GETPIVOTDATA("Average of tip %",$AA$32,"size",6)))))))</f>
        <v>0.15511950414891634</v>
      </c>
      <c r="S244" s="14">
        <f t="shared" si="9"/>
        <v>3.2625302894514783</v>
      </c>
      <c r="T244" s="17">
        <f t="shared" si="10"/>
        <v>7.496925635517127</v>
      </c>
      <c r="U244" s="12">
        <f t="shared" si="11"/>
        <v>5.3797279624843029</v>
      </c>
    </row>
    <row r="245" spans="1:21" x14ac:dyDescent="0.2">
      <c r="A245" t="s">
        <v>11</v>
      </c>
      <c r="B245" t="s">
        <v>22</v>
      </c>
      <c r="C245" t="s">
        <v>21</v>
      </c>
      <c r="D245" t="s">
        <v>10</v>
      </c>
      <c r="E245">
        <v>3</v>
      </c>
      <c r="F245">
        <v>50.81</v>
      </c>
      <c r="G245">
        <v>10</v>
      </c>
      <c r="H245" s="5">
        <f>G245/F245</f>
        <v>0.19681165124975397</v>
      </c>
      <c r="J245" s="18">
        <f>IF(A245="Male",0, 1)</f>
        <v>0</v>
      </c>
      <c r="K245" s="19">
        <f>IF(B245="No",0, 1)</f>
        <v>1</v>
      </c>
      <c r="L245" s="19">
        <f>IF(C245="Mon",1,IF(C245="Tues",2,IF(C245="Wed",3,IF(C245="Thur",4,IF(C245="Fri",5,IF(C245="Sat",6,7))))))</f>
        <v>6</v>
      </c>
      <c r="M245" s="19">
        <f>IF(D245="Lunch",0,1)</f>
        <v>1</v>
      </c>
      <c r="N245" s="19">
        <v>3</v>
      </c>
      <c r="O245" s="19">
        <v>50.81</v>
      </c>
      <c r="P245" s="19">
        <v>10</v>
      </c>
      <c r="Q245" s="20">
        <f>P245/O245</f>
        <v>0.19681165124975397</v>
      </c>
      <c r="R245" s="20">
        <f>AVERAGE(IF(A245="Female",GETPIVOTDATA("tip %",$W$26,"sex","Female"),GETPIVOTDATA("tip %",$W$26,"sex","Male")),IF(K245=0,GETPIVOTDATA("tip %",$AA$26,"smoker","No"),GETPIVOTDATA("tip %",$AA$26,"smoker","Yes")),IF(C245=$W$33,GETPIVOTDATA("tip %",$W$32,"day","Thur"),IF(C245=$W$34,GETPIVOTDATA("tip %",$W$32,"day","Fri"),IF(C245=$W$35,GETPIVOTDATA("tip %",$W$32,"day","Sat"),IF(C245=$W$36,GETPIVOTDATA("tip %",$W$32,"day","Sun"),GETPIVOTDATA("tip %",$W$32))))),IF(D245=$AE$27,GETPIVOTDATA("tip %",$AE$26,"time","Dinner"),GETPIVOTDATA("tip %",$AE$26,"time","Lunch")),IF(N245=$AA$33,GETPIVOTDATA("Average of tip %",$AA$32,"size",1),IF(N245=$AA$34,GETPIVOTDATA("Average of tip %",$AA$32,"size",2),IF(N245=$AA$35,GETPIVOTDATA("Average of tip %",$AA$32,"size",3),IF(N245=$AA$36,GETPIVOTDATA("Average of tip %",$AA$32,"size",4),IF(N245=$AA$37,GETPIVOTDATA("Average of tip %",$AA$32,"size",5),GETPIVOTDATA("Average of tip %",$AA$32,"size",6)))))))</f>
        <v>0.15713459030916987</v>
      </c>
      <c r="S245" s="14">
        <f t="shared" si="9"/>
        <v>3.1174518618744838</v>
      </c>
      <c r="T245" s="17">
        <f t="shared" si="10"/>
        <v>7.9840085336089217</v>
      </c>
      <c r="U245" s="12">
        <f t="shared" si="11"/>
        <v>5.5507301977417027</v>
      </c>
    </row>
  </sheetData>
  <sortState xmlns:xlrd2="http://schemas.microsoft.com/office/spreadsheetml/2017/richdata2" ref="J2:T245">
    <sortCondition ref="O2:O245"/>
  </sortState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Genesis Maravillas</cp:lastModifiedBy>
  <cp:revision/>
  <dcterms:created xsi:type="dcterms:W3CDTF">2021-10-26T16:10:41Z</dcterms:created>
  <dcterms:modified xsi:type="dcterms:W3CDTF">2026-06-06T17:17:38Z</dcterms:modified>
  <cp:category/>
  <cp:contentStatus/>
</cp:coreProperties>
</file>